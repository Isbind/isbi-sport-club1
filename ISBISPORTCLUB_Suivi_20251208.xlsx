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issandoye/CascadeProjects/windsurf-project/"/>
    </mc:Choice>
  </mc:AlternateContent>
  <xr:revisionPtr revIDLastSave="0" documentId="13_ncr:1_{522FE27F-FD6A-D14B-9E36-61CD19E89D09}" xr6:coauthVersionLast="47" xr6:coauthVersionMax="47" xr10:uidLastSave="{00000000-0000-0000-0000-000000000000}"/>
  <bookViews>
    <workbookView minimized="1" xWindow="0" yWindow="880" windowWidth="34200" windowHeight="21360" activeTab="1" xr2:uid="{00000000-000D-0000-FFFF-FFFF00000000}"/>
  </bookViews>
  <sheets>
    <sheet name="Membres" sheetId="1" r:id="rId1"/>
    <sheet name="Abonnements" sheetId="2" r:id="rId2"/>
    <sheet name="Paiements" sheetId="3" r:id="rId3"/>
    <sheet name="Présences" sheetId="4" r:id="rId4"/>
    <sheet name="Tableau de Bo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5" l="1"/>
  <c r="B38" i="5"/>
  <c r="B37" i="5"/>
  <c r="B36" i="5"/>
  <c r="B35" i="5"/>
  <c r="B34" i="5"/>
  <c r="B33" i="5"/>
  <c r="B32" i="5"/>
  <c r="B31" i="5"/>
  <c r="B30" i="5"/>
  <c r="B29" i="5"/>
  <c r="B28" i="5"/>
  <c r="B15" i="5"/>
  <c r="B14" i="5"/>
  <c r="B13" i="5"/>
  <c r="B8" i="5"/>
  <c r="B7" i="5"/>
  <c r="B6" i="5"/>
  <c r="B5" i="5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</calcChain>
</file>

<file path=xl/sharedStrings.xml><?xml version="1.0" encoding="utf-8"?>
<sst xmlns="http://schemas.openxmlformats.org/spreadsheetml/2006/main" count="780" uniqueCount="339">
  <si>
    <t>GESTION DES MEMBRES</t>
  </si>
  <si>
    <t>ID</t>
  </si>
  <si>
    <t>Nom</t>
  </si>
  <si>
    <t>Prénom</t>
  </si>
  <si>
    <t>Téléphone</t>
  </si>
  <si>
    <t>Email</t>
  </si>
  <si>
    <t>Date d'inscription</t>
  </si>
  <si>
    <t>Date de naissance</t>
  </si>
  <si>
    <t>Médecine du sport</t>
  </si>
  <si>
    <t>M001</t>
  </si>
  <si>
    <t>Nom1</t>
  </si>
  <si>
    <t>Prénom1</t>
  </si>
  <si>
    <t>0639228299</t>
  </si>
  <si>
    <t>membre1@email.com</t>
  </si>
  <si>
    <t>Non</t>
  </si>
  <si>
    <t>M002</t>
  </si>
  <si>
    <t>Nom2</t>
  </si>
  <si>
    <t>Prénom2</t>
  </si>
  <si>
    <t>0646650797</t>
  </si>
  <si>
    <t>membre2@email.com</t>
  </si>
  <si>
    <t>M003</t>
  </si>
  <si>
    <t>Nom3</t>
  </si>
  <si>
    <t>Prénom3</t>
  </si>
  <si>
    <t>0698824930</t>
  </si>
  <si>
    <t>membre3@email.com</t>
  </si>
  <si>
    <t>Oui</t>
  </si>
  <si>
    <t>M004</t>
  </si>
  <si>
    <t>Nom4</t>
  </si>
  <si>
    <t>Prénom4</t>
  </si>
  <si>
    <t>0695326398</t>
  </si>
  <si>
    <t>membre4@email.com</t>
  </si>
  <si>
    <t>M005</t>
  </si>
  <si>
    <t>Nom5</t>
  </si>
  <si>
    <t>Prénom5</t>
  </si>
  <si>
    <t>0697252350</t>
  </si>
  <si>
    <t>membre5@email.com</t>
  </si>
  <si>
    <t>M006</t>
  </si>
  <si>
    <t>Nom6</t>
  </si>
  <si>
    <t>Prénom6</t>
  </si>
  <si>
    <t>0611401238</t>
  </si>
  <si>
    <t>membre6@email.com</t>
  </si>
  <si>
    <t>M007</t>
  </si>
  <si>
    <t>Nom7</t>
  </si>
  <si>
    <t>Prénom7</t>
  </si>
  <si>
    <t>0675072418</t>
  </si>
  <si>
    <t>membre7@email.com</t>
  </si>
  <si>
    <t>M008</t>
  </si>
  <si>
    <t>Nom8</t>
  </si>
  <si>
    <t>Prénom8</t>
  </si>
  <si>
    <t>0696472794</t>
  </si>
  <si>
    <t>membre8@email.com</t>
  </si>
  <si>
    <t>M009</t>
  </si>
  <si>
    <t>Nom9</t>
  </si>
  <si>
    <t>Prénom9</t>
  </si>
  <si>
    <t>0618875000</t>
  </si>
  <si>
    <t>membre9@email.com</t>
  </si>
  <si>
    <t>M010</t>
  </si>
  <si>
    <t>Nom10</t>
  </si>
  <si>
    <t>Prénom10</t>
  </si>
  <si>
    <t>0688340990</t>
  </si>
  <si>
    <t>membre10@email.com</t>
  </si>
  <si>
    <t>M011</t>
  </si>
  <si>
    <t>Nom11</t>
  </si>
  <si>
    <t>Prénom11</t>
  </si>
  <si>
    <t>0615217084</t>
  </si>
  <si>
    <t>membre11@email.com</t>
  </si>
  <si>
    <t>M012</t>
  </si>
  <si>
    <t>Nom12</t>
  </si>
  <si>
    <t>Prénom12</t>
  </si>
  <si>
    <t>0676457845</t>
  </si>
  <si>
    <t>membre12@email.com</t>
  </si>
  <si>
    <t>M013</t>
  </si>
  <si>
    <t>Nom13</t>
  </si>
  <si>
    <t>Prénom13</t>
  </si>
  <si>
    <t>0690437044</t>
  </si>
  <si>
    <t>membre13@email.com</t>
  </si>
  <si>
    <t>M014</t>
  </si>
  <si>
    <t>Nom14</t>
  </si>
  <si>
    <t>Prénom14</t>
  </si>
  <si>
    <t>0661221390</t>
  </si>
  <si>
    <t>membre14@email.com</t>
  </si>
  <si>
    <t>M015</t>
  </si>
  <si>
    <t>Nom15</t>
  </si>
  <si>
    <t>Prénom15</t>
  </si>
  <si>
    <t>0660284518</t>
  </si>
  <si>
    <t>membre15@email.com</t>
  </si>
  <si>
    <t>M016</t>
  </si>
  <si>
    <t>Nom16</t>
  </si>
  <si>
    <t>Prénom16</t>
  </si>
  <si>
    <t>0617185559</t>
  </si>
  <si>
    <t>membre16@email.com</t>
  </si>
  <si>
    <t>M017</t>
  </si>
  <si>
    <t>Nom17</t>
  </si>
  <si>
    <t>Prénom17</t>
  </si>
  <si>
    <t>0644186032</t>
  </si>
  <si>
    <t>membre17@email.com</t>
  </si>
  <si>
    <t>M018</t>
  </si>
  <si>
    <t>Nom18</t>
  </si>
  <si>
    <t>Prénom18</t>
  </si>
  <si>
    <t>0698096681</t>
  </si>
  <si>
    <t>membre18@email.com</t>
  </si>
  <si>
    <t>M019</t>
  </si>
  <si>
    <t>Nom19</t>
  </si>
  <si>
    <t>Prénom19</t>
  </si>
  <si>
    <t>0693940180</t>
  </si>
  <si>
    <t>membre19@email.com</t>
  </si>
  <si>
    <t>M020</t>
  </si>
  <si>
    <t>Nom20</t>
  </si>
  <si>
    <t>Prénom20</t>
  </si>
  <si>
    <t>0639832508</t>
  </si>
  <si>
    <t>membre20@email.com</t>
  </si>
  <si>
    <t>GESTION DES ABONNEMENTS</t>
  </si>
  <si>
    <t>ID Abonnement</t>
  </si>
  <si>
    <t>ID Membre</t>
  </si>
  <si>
    <t>Type</t>
  </si>
  <si>
    <t>Date début</t>
  </si>
  <si>
    <t>Date fin</t>
  </si>
  <si>
    <t>Prix</t>
  </si>
  <si>
    <t>Statut</t>
  </si>
  <si>
    <t>Méthode de paiement</t>
  </si>
  <si>
    <t>A0001</t>
  </si>
  <si>
    <t>Mensuel</t>
  </si>
  <si>
    <t>Expiré</t>
  </si>
  <si>
    <t>Virement</t>
  </si>
  <si>
    <t>A0002</t>
  </si>
  <si>
    <t>Annuel</t>
  </si>
  <si>
    <t>Chèque</t>
  </si>
  <si>
    <t>A0003</t>
  </si>
  <si>
    <t>Résilié</t>
  </si>
  <si>
    <t>A0004</t>
  </si>
  <si>
    <t>Trimestriel</t>
  </si>
  <si>
    <t>A0005</t>
  </si>
  <si>
    <t>A0006</t>
  </si>
  <si>
    <t>Espèces</t>
  </si>
  <si>
    <t>A0007</t>
  </si>
  <si>
    <t>Actif</t>
  </si>
  <si>
    <t>A0008</t>
  </si>
  <si>
    <t>A0009</t>
  </si>
  <si>
    <t>A0010</t>
  </si>
  <si>
    <t>Carte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</si>
  <si>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</si>
  <si>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</si>
  <si>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</si>
  <si>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</si>
  <si>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</si>
  <si>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</si>
  <si>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</si>
  <si>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</si>
  <si>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</si>
  <si>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</si>
  <si>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SUIVI DES PAIEMENTS</t>
  </si>
  <si>
    <t>ID Paiement</t>
  </si>
  <si>
    <t>Date</t>
  </si>
  <si>
    <t>Montant</t>
  </si>
  <si>
    <t>Méthode</t>
  </si>
  <si>
    <t>P00001</t>
  </si>
  <si>
    <t>Payé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</si>
  <si>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</si>
  <si>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</si>
  <si>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</si>
  <si>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</si>
  <si>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</si>
  <si>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</si>
  <si>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</si>
  <si>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</si>
  <si>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</si>
  <si>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</si>
  <si>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</si>
  <si>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</si>
  <si>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</si>
  <si>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</si>
  <si>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</si>
  <si>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</si>
  <si>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</si>
  <si>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</si>
  <si>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</si>
  <si>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</si>
  <si>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</si>
  <si>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</si>
  <si>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</si>
  <si>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</si>
  <si>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</si>
  <si>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</si>
  <si>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</si>
  <si>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</si>
  <si>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</si>
  <si>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</si>
  <si>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</si>
  <si>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</si>
  <si>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</si>
  <si>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</si>
  <si>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</si>
  <si>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</si>
  <si>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</si>
  <si>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</si>
  <si>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</si>
  <si>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</si>
  <si>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</si>
  <si>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</si>
  <si>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</si>
  <si>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</si>
  <si>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</si>
  <si>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</si>
  <si>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</si>
  <si>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</si>
  <si>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</si>
  <si>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SUIVI DES PRÉSENCES</t>
  </si>
  <si>
    <t>ID Séance</t>
  </si>
  <si>
    <t>Heure d'arrivée</t>
  </si>
  <si>
    <t>Heure de départ</t>
  </si>
  <si>
    <t>Durée (min)</t>
  </si>
  <si>
    <t>Activité</t>
  </si>
  <si>
    <t>S00001</t>
  </si>
  <si>
    <t>Cours collectif</t>
  </si>
  <si>
    <t>S00002</t>
  </si>
  <si>
    <t>Musculation</t>
  </si>
  <si>
    <t>S00003</t>
  </si>
  <si>
    <t>S00004</t>
  </si>
  <si>
    <t>Étirement</t>
  </si>
  <si>
    <t>S00005</t>
  </si>
  <si>
    <t>S00006</t>
  </si>
  <si>
    <t>S00007</t>
  </si>
  <si>
    <t>S00008</t>
  </si>
  <si>
    <t>S00009</t>
  </si>
  <si>
    <t>Cardio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</si>
  <si>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</si>
  <si>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</si>
  <si>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</si>
  <si>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</si>
  <si>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</si>
  <si>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</si>
  <si>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</si>
  <si>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</si>
  <si>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</si>
  <si>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</si>
  <si>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</si>
  <si>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</si>
  <si>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</si>
  <si>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</si>
  <si>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</si>
  <si>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</si>
  <si>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</si>
  <si>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</si>
  <si>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</si>
  <si>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</si>
  <si>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</si>
  <si>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</si>
  <si>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</si>
  <si>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</si>
  <si>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</si>
  <si>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</si>
  <si>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</si>
  <si>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</si>
  <si>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</si>
  <si>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</si>
  <si>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</si>
  <si>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</si>
  <si>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</si>
  <si>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</si>
  <si>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</si>
  <si>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</si>
  <si>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</si>
  <si>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</si>
  <si>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</si>
  <si>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</si>
  <si>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</si>
  <si>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</si>
  <si>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</si>
  <si>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</si>
  <si>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</si>
  <si>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</si>
  <si>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</si>
  <si>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</si>
  <si>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</si>
  <si>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</si>
  <si>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</si>
  <si>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</si>
  <si>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</si>
  <si>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</si>
  <si>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</si>
  <si>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</si>
  <si>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</si>
  <si>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</si>
  <si>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</si>
  <si>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</si>
  <si>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</si>
  <si>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</si>
  <si>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</si>
  <si>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</si>
  <si>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</si>
  <si>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</si>
  <si>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</si>
  <si>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</si>
  <si>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</si>
  <si>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</si>
  <si>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</si>
  <si>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</si>
  <si>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</si>
  <si>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</si>
  <si>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</si>
  <si>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</si>
  <si>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</si>
  <si>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</si>
  <si>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</si>
  <si>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</si>
  <si>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</si>
  <si>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</si>
  <si>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</si>
  <si>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</si>
  <si>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</si>
  <si>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</si>
  <si>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</si>
  <si>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</si>
  <si>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</si>
  <si>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</si>
  <si>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</si>
  <si>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TABLEAU DE BORD ISBISPORTCLUB</t>
  </si>
  <si>
    <t>Données au 08/12/2025</t>
  </si>
  <si>
    <t>Membres actifs</t>
  </si>
  <si>
    <t>Abonnements actifs</t>
  </si>
  <si>
    <t>Recettes mensuelles</t>
  </si>
  <si>
    <t>Taux de fréquentation</t>
  </si>
  <si>
    <t>Répartition des abonnements par type</t>
  </si>
  <si>
    <t>Type d'abonnement</t>
  </si>
  <si>
    <t>Nombre</t>
  </si>
  <si>
    <t>Recettes mensuelles (12 derniers mois)</t>
  </si>
  <si>
    <t>Mois</t>
  </si>
  <si>
    <t>12/2025</t>
  </si>
  <si>
    <t>11/2025</t>
  </si>
  <si>
    <t>10/2025</t>
  </si>
  <si>
    <t>09/2025</t>
  </si>
  <si>
    <t>08/2025</t>
  </si>
  <si>
    <t>07/2025</t>
  </si>
  <si>
    <t>06/2025</t>
  </si>
  <si>
    <t>05/2025</t>
  </si>
  <si>
    <t>04/2025</t>
  </si>
  <si>
    <t>03/2025</t>
  </si>
  <si>
    <t>02/2025</t>
  </si>
  <si>
    <t>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</si>
</sst>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\€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1F4E78"/>
      <name val="Arial"/>
      <family val="2"/>
    </font>
    <font>
      <i/>
      <sz val="11"/>
      <color rgb="FF7F7F7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20" fontId="0" fillId="0" borderId="0" xfId="0" applyNumberFormat="1"/>
    <xf numFmtId="0" fontId="2" fillId="3" borderId="1" xfId="0" applyFont="1" applyFill="1" applyBorder="1"/>
    <xf numFmtId="0" fontId="3" fillId="0" borderId="0" xfId="0" applyFont="1"/>
    <xf numFmtId="0" fontId="0" fillId="0" borderId="0" xfId="0" applyFont="1"/>
    <xf numFmtId="0" fontId="0" fillId="0" borderId="0" xfId="0" applyFont="1"/>
    <xf numFmtId="14" fontId="0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/>
    <xf numFmtId="0" fontId="6" fillId="2" borderId="1" xfId="0" applyFont="1" applyFill="1" applyBorder="1"/>
    <xf numFmtId="14" fontId="5" fillId="0" borderId="0" xfId="0" applyNumberFormat="1" applyFont="1"/>
    <xf numFmtId="165" fontId="0" fillId="0" borderId="0" xfId="0" applyNumberFormat="1" applyFont="1"/>
    <xf numFmtId="0" fontId="7" fillId="0" borderId="0" xfId="0" applyFont="1"/>
    <xf numFmtId="0" fontId="8" fillId="0" borderId="0" xfId="0" applyFont="1"/>
    <xf numFmtId="0" fontId="0" fillId="0" borderId="1" xfId="0" applyFont="1" applyBorder="1"/>
    <xf numFmtId="3" fontId="0" fillId="0" borderId="1" xfId="0" applyNumberFormat="1" applyFont="1" applyBorder="1"/>
    <xf numFmtId="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Répartition des abonnements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'Tableau de Bord'!$B$12</c:f>
              <c:strCache>
                <c:ptCount val="1"/>
                <c:pt idx="0">
                  <c:v>Nombre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'Tableau de Bord'!$A$13:$A$15</c:f>
              <c:strCache>
                <c:ptCount val="3"/>
                <c:pt idx="0">
                  <c:v>Mensuel</c:v>
                </c:pt>
                <c:pt idx="1">
                  <c:v>Trimestriel</c:v>
                </c:pt>
                <c:pt idx="2">
                  <c:v>Annuel</c:v>
                </c:pt>
              </c:strCache>
            </c:strRef>
          </c:cat>
          <c:val>
            <c:numRef>
              <c:f>'Tableau de Bord'!$B$13:$B$15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A-3F44-AFF9-A33E5B1FA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FR"/>
              <a:t>Recettes mensuelles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'Tableau de Bord'!$B$27</c:f>
              <c:strCache>
                <c:ptCount val="1"/>
                <c:pt idx="0">
                  <c:v>Montant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'Tableau de Bord'!$A$28:$A$39</c:f>
              <c:strCache>
                <c:ptCount val="12"/>
                <c:pt idx="0">
                  <c:v>12/2025</c:v>
                </c:pt>
                <c:pt idx="1">
                  <c:v>11/2025</c:v>
                </c:pt>
                <c:pt idx="2">
                  <c:v>10/2025</c:v>
                </c:pt>
                <c:pt idx="3">
                  <c:v>09/2025</c:v>
                </c:pt>
                <c:pt idx="4">
                  <c:v>08/2025</c:v>
                </c:pt>
                <c:pt idx="5">
                  <c:v>07/2025</c:v>
                </c:pt>
                <c:pt idx="6">
                  <c:v>06/2025</c:v>
                </c:pt>
                <c:pt idx="7">
                  <c:v>05/2025</c:v>
                </c:pt>
                <c:pt idx="8">
                  <c:v>04/2025</c:v>
                </c:pt>
                <c:pt idx="9">
                  <c:v>03/2025</c:v>
                </c:pt>
                <c:pt idx="10">
                  <c:v>02/2025</c:v>
                </c:pt>
                <c:pt idx="11">
                  <c:v>01/2025</c:v>
                </c:pt>
              </c:strCache>
            </c:strRef>
          </c:cat>
          <c:val>
            <c:numRef>
              <c:f>'Tableau de Bord'!$B$28:$B$39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2-1943-B46F-74CB4BCC8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Mois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Montant (€)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625231</xdr:colOff>
      <xdr:row>2</xdr:row>
      <xdr:rowOff>9770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39077</xdr:colOff>
      <xdr:row>17</xdr:row>
      <xdr:rowOff>185617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="180" zoomScaleNormal="180" workbookViewId="0">
      <selection activeCell="J2" sqref="J2"/>
    </sheetView>
  </sheetViews>
  <sheetFormatPr baseColWidth="10" defaultColWidth="8.83203125" defaultRowHeight="14" x14ac:dyDescent="0.2"/>
  <cols>
    <col min="1" max="8" width="15" style="11" customWidth="1"/>
    <col min="9" max="16384" width="8.83203125" style="11"/>
  </cols>
  <sheetData>
    <row r="1" spans="1:8" x14ac:dyDescent="0.2">
      <c r="A1" s="9" t="s">
        <v>0</v>
      </c>
      <c r="B1" s="10"/>
      <c r="C1" s="10"/>
      <c r="D1" s="10"/>
      <c r="E1" s="10"/>
      <c r="F1" s="10"/>
      <c r="G1" s="10"/>
      <c r="H1" s="10"/>
    </row>
    <row r="3" spans="1:8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">
      <c r="A4" s="11" t="s">
        <v>9</v>
      </c>
      <c r="B4" s="11" t="s">
        <v>10</v>
      </c>
      <c r="C4" s="11" t="s">
        <v>11</v>
      </c>
      <c r="D4" s="11" t="s">
        <v>12</v>
      </c>
      <c r="E4" s="11" t="s">
        <v>13</v>
      </c>
      <c r="F4" s="13">
        <v>45699.658431782103</v>
      </c>
      <c r="G4" s="13">
        <v>29843.658431783289</v>
      </c>
      <c r="H4" s="11" t="s">
        <v>14</v>
      </c>
    </row>
    <row r="5" spans="1:8" x14ac:dyDescent="0.2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3">
        <v>45652.658431783617</v>
      </c>
      <c r="G5" s="13">
        <v>35880.65843178369</v>
      </c>
      <c r="H5" s="11" t="s">
        <v>14</v>
      </c>
    </row>
    <row r="6" spans="1:8" x14ac:dyDescent="0.2">
      <c r="A6" s="11" t="s">
        <v>20</v>
      </c>
      <c r="B6" s="11" t="s">
        <v>21</v>
      </c>
      <c r="C6" s="11" t="s">
        <v>22</v>
      </c>
      <c r="D6" s="11" t="s">
        <v>23</v>
      </c>
      <c r="E6" s="11" t="s">
        <v>24</v>
      </c>
      <c r="F6" s="13">
        <v>45738.658431783973</v>
      </c>
      <c r="G6" s="13">
        <v>37067.658431784039</v>
      </c>
      <c r="H6" s="11" t="s">
        <v>25</v>
      </c>
    </row>
    <row r="7" spans="1:8" x14ac:dyDescent="0.2">
      <c r="A7" s="11" t="s">
        <v>26</v>
      </c>
      <c r="B7" s="11" t="s">
        <v>27</v>
      </c>
      <c r="C7" s="11" t="s">
        <v>28</v>
      </c>
      <c r="D7" s="11" t="s">
        <v>29</v>
      </c>
      <c r="E7" s="11" t="s">
        <v>30</v>
      </c>
      <c r="F7" s="13">
        <v>45682.658431784272</v>
      </c>
      <c r="G7" s="13">
        <v>27098.65843178433</v>
      </c>
      <c r="H7" s="11" t="s">
        <v>14</v>
      </c>
    </row>
    <row r="8" spans="1:8" x14ac:dyDescent="0.2">
      <c r="A8" s="11" t="s">
        <v>31</v>
      </c>
      <c r="B8" s="11" t="s">
        <v>32</v>
      </c>
      <c r="C8" s="11" t="s">
        <v>33</v>
      </c>
      <c r="D8" s="11" t="s">
        <v>34</v>
      </c>
      <c r="E8" s="11" t="s">
        <v>35</v>
      </c>
      <c r="F8" s="13">
        <v>45690.658431784548</v>
      </c>
      <c r="G8" s="13">
        <v>28185.65843178461</v>
      </c>
      <c r="H8" s="11" t="s">
        <v>14</v>
      </c>
    </row>
    <row r="9" spans="1:8" x14ac:dyDescent="0.2">
      <c r="A9" s="11" t="s">
        <v>36</v>
      </c>
      <c r="B9" s="11" t="s">
        <v>37</v>
      </c>
      <c r="C9" s="11" t="s">
        <v>38</v>
      </c>
      <c r="D9" s="11" t="s">
        <v>39</v>
      </c>
      <c r="E9" s="11" t="s">
        <v>40</v>
      </c>
      <c r="F9" s="13">
        <v>45812.658431784817</v>
      </c>
      <c r="G9" s="13">
        <v>32610.658431784901</v>
      </c>
      <c r="H9" s="11" t="s">
        <v>14</v>
      </c>
    </row>
    <row r="10" spans="1:8" x14ac:dyDescent="0.2">
      <c r="A10" s="11" t="s">
        <v>41</v>
      </c>
      <c r="B10" s="11" t="s">
        <v>42</v>
      </c>
      <c r="C10" s="11" t="s">
        <v>43</v>
      </c>
      <c r="D10" s="11" t="s">
        <v>44</v>
      </c>
      <c r="E10" s="11" t="s">
        <v>45</v>
      </c>
      <c r="F10" s="13">
        <v>45712.658431785123</v>
      </c>
      <c r="G10" s="13">
        <v>38908.658431785167</v>
      </c>
      <c r="H10" s="11" t="s">
        <v>25</v>
      </c>
    </row>
    <row r="11" spans="1:8" x14ac:dyDescent="0.2">
      <c r="A11" s="11" t="s">
        <v>46</v>
      </c>
      <c r="B11" s="11" t="s">
        <v>47</v>
      </c>
      <c r="C11" s="11" t="s">
        <v>48</v>
      </c>
      <c r="D11" s="11" t="s">
        <v>49</v>
      </c>
      <c r="E11" s="11" t="s">
        <v>50</v>
      </c>
      <c r="F11" s="13">
        <v>45959.658431785378</v>
      </c>
      <c r="G11" s="13">
        <v>32634.65843178545</v>
      </c>
      <c r="H11" s="11" t="s">
        <v>25</v>
      </c>
    </row>
    <row r="12" spans="1:8" x14ac:dyDescent="0.2">
      <c r="A12" s="11" t="s">
        <v>51</v>
      </c>
      <c r="B12" s="11" t="s">
        <v>52</v>
      </c>
      <c r="C12" s="11" t="s">
        <v>53</v>
      </c>
      <c r="D12" s="11" t="s">
        <v>54</v>
      </c>
      <c r="E12" s="11" t="s">
        <v>55</v>
      </c>
      <c r="F12" s="13">
        <v>45761.658431785661</v>
      </c>
      <c r="G12" s="13">
        <v>28658.658431785741</v>
      </c>
      <c r="H12" s="11" t="s">
        <v>25</v>
      </c>
    </row>
    <row r="13" spans="1:8" x14ac:dyDescent="0.2">
      <c r="A13" s="11" t="s">
        <v>56</v>
      </c>
      <c r="B13" s="11" t="s">
        <v>57</v>
      </c>
      <c r="C13" s="11" t="s">
        <v>58</v>
      </c>
      <c r="D13" s="11" t="s">
        <v>59</v>
      </c>
      <c r="E13" s="11" t="s">
        <v>60</v>
      </c>
      <c r="F13" s="13">
        <v>45634.65843178596</v>
      </c>
      <c r="G13" s="13">
        <v>36031.658431786018</v>
      </c>
      <c r="H13" s="11" t="s">
        <v>14</v>
      </c>
    </row>
    <row r="14" spans="1:8" x14ac:dyDescent="0.2">
      <c r="A14" s="11" t="s">
        <v>61</v>
      </c>
      <c r="B14" s="11" t="s">
        <v>62</v>
      </c>
      <c r="C14" s="11" t="s">
        <v>63</v>
      </c>
      <c r="D14" s="11" t="s">
        <v>64</v>
      </c>
      <c r="E14" s="11" t="s">
        <v>65</v>
      </c>
      <c r="F14" s="13">
        <v>45750.658431786251</v>
      </c>
      <c r="G14" s="13">
        <v>27100.658431786309</v>
      </c>
      <c r="H14" s="11" t="s">
        <v>14</v>
      </c>
    </row>
    <row r="15" spans="1:8" x14ac:dyDescent="0.2">
      <c r="A15" s="11" t="s">
        <v>66</v>
      </c>
      <c r="B15" s="11" t="s">
        <v>67</v>
      </c>
      <c r="C15" s="11" t="s">
        <v>68</v>
      </c>
      <c r="D15" s="11" t="s">
        <v>69</v>
      </c>
      <c r="E15" s="11" t="s">
        <v>70</v>
      </c>
      <c r="F15" s="13">
        <v>45758.658431786527</v>
      </c>
      <c r="G15" s="13">
        <v>35997.658431786593</v>
      </c>
      <c r="H15" s="11" t="s">
        <v>14</v>
      </c>
    </row>
    <row r="16" spans="1:8" x14ac:dyDescent="0.2">
      <c r="A16" s="11" t="s">
        <v>71</v>
      </c>
      <c r="B16" s="11" t="s">
        <v>72</v>
      </c>
      <c r="C16" s="11" t="s">
        <v>73</v>
      </c>
      <c r="D16" s="11" t="s">
        <v>74</v>
      </c>
      <c r="E16" s="11" t="s">
        <v>75</v>
      </c>
      <c r="F16" s="13">
        <v>45935.658431786796</v>
      </c>
      <c r="G16" s="13">
        <v>26737.658431786858</v>
      </c>
      <c r="H16" s="11" t="s">
        <v>25</v>
      </c>
    </row>
    <row r="17" spans="1:8" x14ac:dyDescent="0.2">
      <c r="A17" s="11" t="s">
        <v>76</v>
      </c>
      <c r="B17" s="11" t="s">
        <v>77</v>
      </c>
      <c r="C17" s="11" t="s">
        <v>78</v>
      </c>
      <c r="D17" s="11" t="s">
        <v>79</v>
      </c>
      <c r="E17" s="11" t="s">
        <v>80</v>
      </c>
      <c r="F17" s="13">
        <v>45797.65843178708</v>
      </c>
      <c r="G17" s="13">
        <v>24424.65843178716</v>
      </c>
      <c r="H17" s="11" t="s">
        <v>14</v>
      </c>
    </row>
    <row r="18" spans="1:8" x14ac:dyDescent="0.2">
      <c r="A18" s="11" t="s">
        <v>81</v>
      </c>
      <c r="B18" s="11" t="s">
        <v>82</v>
      </c>
      <c r="C18" s="11" t="s">
        <v>83</v>
      </c>
      <c r="D18" s="11" t="s">
        <v>84</v>
      </c>
      <c r="E18" s="11" t="s">
        <v>85</v>
      </c>
      <c r="F18" s="13">
        <v>45709.658431787393</v>
      </c>
      <c r="G18" s="13">
        <v>29596.658431787451</v>
      </c>
      <c r="H18" s="11" t="s">
        <v>25</v>
      </c>
    </row>
    <row r="19" spans="1:8" x14ac:dyDescent="0.2">
      <c r="A19" s="11" t="s">
        <v>86</v>
      </c>
      <c r="B19" s="11" t="s">
        <v>87</v>
      </c>
      <c r="C19" s="11" t="s">
        <v>88</v>
      </c>
      <c r="D19" s="11" t="s">
        <v>89</v>
      </c>
      <c r="E19" s="11" t="s">
        <v>90</v>
      </c>
      <c r="F19" s="13">
        <v>45788.658431787677</v>
      </c>
      <c r="G19" s="13">
        <v>25420.658431787731</v>
      </c>
      <c r="H19" s="11" t="s">
        <v>14</v>
      </c>
    </row>
    <row r="20" spans="1:8" x14ac:dyDescent="0.2">
      <c r="A20" s="11" t="s">
        <v>91</v>
      </c>
      <c r="B20" s="11" t="s">
        <v>92</v>
      </c>
      <c r="C20" s="11" t="s">
        <v>93</v>
      </c>
      <c r="D20" s="11" t="s">
        <v>94</v>
      </c>
      <c r="E20" s="11" t="s">
        <v>95</v>
      </c>
      <c r="F20" s="13">
        <v>45975.658431787953</v>
      </c>
      <c r="G20" s="13">
        <v>37431.658431788012</v>
      </c>
      <c r="H20" s="11" t="s">
        <v>14</v>
      </c>
    </row>
    <row r="21" spans="1:8" x14ac:dyDescent="0.2">
      <c r="A21" s="11" t="s">
        <v>96</v>
      </c>
      <c r="B21" s="11" t="s">
        <v>97</v>
      </c>
      <c r="C21" s="11" t="s">
        <v>98</v>
      </c>
      <c r="D21" s="11" t="s">
        <v>99</v>
      </c>
      <c r="E21" s="11" t="s">
        <v>100</v>
      </c>
      <c r="F21" s="13">
        <v>45792.658431788237</v>
      </c>
      <c r="G21" s="13">
        <v>36662.658431788303</v>
      </c>
      <c r="H21" s="11" t="s">
        <v>25</v>
      </c>
    </row>
    <row r="22" spans="1:8" x14ac:dyDescent="0.2">
      <c r="A22" s="11" t="s">
        <v>101</v>
      </c>
      <c r="B22" s="11" t="s">
        <v>102</v>
      </c>
      <c r="C22" s="11" t="s">
        <v>103</v>
      </c>
      <c r="D22" s="11" t="s">
        <v>104</v>
      </c>
      <c r="E22" s="11" t="s">
        <v>105</v>
      </c>
      <c r="F22" s="13">
        <v>45863.658431788521</v>
      </c>
      <c r="G22" s="13">
        <v>30254.658431788579</v>
      </c>
      <c r="H22" s="11" t="s">
        <v>25</v>
      </c>
    </row>
    <row r="23" spans="1:8" x14ac:dyDescent="0.2">
      <c r="A23" s="11" t="s">
        <v>106</v>
      </c>
      <c r="B23" s="11" t="s">
        <v>107</v>
      </c>
      <c r="C23" s="11" t="s">
        <v>108</v>
      </c>
      <c r="D23" s="11" t="s">
        <v>109</v>
      </c>
      <c r="E23" s="11" t="s">
        <v>110</v>
      </c>
      <c r="F23" s="13">
        <v>45883.658431788826</v>
      </c>
      <c r="G23" s="13">
        <v>26872.658431788888</v>
      </c>
      <c r="H23" s="11" t="s">
        <v>14</v>
      </c>
    </row>
  </sheetData>
  <sheetProtection sheet="1" formatCells="0"/>
  <mergeCells count="1">
    <mergeCell ref="A1:H1"/>
  </mergeCells>
  <dataValidations count="1">
    <dataValidation type="list" showDropDown="1" sqref="H4:H23" xr:uid="{00000000-0002-0000-0000-000000000000}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180" zoomScaleNormal="180" workbookViewId="0">
      <selection activeCell="C4" sqref="C4"/>
    </sheetView>
  </sheetViews>
  <sheetFormatPr baseColWidth="10" defaultColWidth="8.83203125" defaultRowHeight="15" x14ac:dyDescent="0.2"/>
  <cols>
    <col min="1" max="8" width="15" style="7" customWidth="1"/>
    <col min="9" max="16384" width="8.83203125" style="7"/>
  </cols>
  <sheetData>
    <row r="1" spans="1:8" x14ac:dyDescent="0.2">
      <c r="A1" s="5" t="s">
        <v>111</v>
      </c>
      <c r="B1" s="6"/>
      <c r="C1" s="6"/>
      <c r="D1" s="6"/>
      <c r="E1" s="6"/>
      <c r="F1" s="6"/>
      <c r="G1" s="6"/>
      <c r="H1" s="6"/>
    </row>
    <row r="3" spans="1:8" x14ac:dyDescent="0.2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</row>
    <row r="4" spans="1:8" x14ac:dyDescent="0.2">
      <c r="A4" s="7" t="s">
        <v>120</v>
      </c>
      <c r="B4" s="7" t="s">
        <v>46</v>
      </c>
      <c r="C4" s="7" t="s">
        <v>121</v>
      </c>
      <c r="D4" s="8">
        <v>45973.658431793243</v>
      </c>
      <c r="E4" s="8">
        <v>46003.658431793243</v>
      </c>
      <c r="F4" s="14">
        <v>30</v>
      </c>
      <c r="G4" s="7" t="s">
        <v>122</v>
      </c>
      <c r="H4" s="7" t="s">
        <v>123</v>
      </c>
    </row>
    <row r="5" spans="1:8" x14ac:dyDescent="0.2">
      <c r="A5" s="7" t="s">
        <v>124</v>
      </c>
      <c r="B5" s="7" t="s">
        <v>51</v>
      </c>
      <c r="C5" s="7" t="s">
        <v>125</v>
      </c>
      <c r="D5" s="8">
        <v>45897.658431793607</v>
      </c>
      <c r="E5" s="8">
        <v>46262.658431793607</v>
      </c>
      <c r="F5" s="14">
        <v>300</v>
      </c>
      <c r="G5" s="7" t="s">
        <v>122</v>
      </c>
      <c r="H5" s="7" t="s">
        <v>126</v>
      </c>
    </row>
    <row r="6" spans="1:8" x14ac:dyDescent="0.2">
      <c r="A6" s="7" t="s">
        <v>127</v>
      </c>
      <c r="B6" s="7" t="s">
        <v>15</v>
      </c>
      <c r="C6" s="7" t="s">
        <v>125</v>
      </c>
      <c r="D6" s="8">
        <v>45986.65843179389</v>
      </c>
      <c r="E6" s="8">
        <v>46351.65843179389</v>
      </c>
      <c r="F6" s="14">
        <v>300</v>
      </c>
      <c r="G6" s="7" t="s">
        <v>128</v>
      </c>
      <c r="H6" s="7" t="s">
        <v>123</v>
      </c>
    </row>
    <row r="7" spans="1:8" x14ac:dyDescent="0.2">
      <c r="A7" s="7" t="s">
        <v>129</v>
      </c>
      <c r="B7" s="7" t="s">
        <v>46</v>
      </c>
      <c r="C7" s="7" t="s">
        <v>130</v>
      </c>
      <c r="D7" s="8">
        <v>45864.658431794167</v>
      </c>
      <c r="E7" s="8">
        <v>45954.658431794167</v>
      </c>
      <c r="F7" s="14">
        <v>80</v>
      </c>
      <c r="G7" s="7" t="s">
        <v>128</v>
      </c>
      <c r="H7" s="7" t="s">
        <v>123</v>
      </c>
    </row>
    <row r="8" spans="1:8" x14ac:dyDescent="0.2">
      <c r="A8" s="7" t="s">
        <v>131</v>
      </c>
      <c r="B8" s="7" t="s">
        <v>36</v>
      </c>
      <c r="C8" s="7" t="s">
        <v>130</v>
      </c>
      <c r="D8" s="8">
        <v>45816.658431794443</v>
      </c>
      <c r="E8" s="8">
        <v>45906.658431794443</v>
      </c>
      <c r="F8" s="14">
        <v>80</v>
      </c>
      <c r="G8" s="7" t="s">
        <v>128</v>
      </c>
      <c r="H8" s="7" t="s">
        <v>123</v>
      </c>
    </row>
    <row r="9" spans="1:8" x14ac:dyDescent="0.2">
      <c r="A9" s="7" t="s">
        <v>132</v>
      </c>
      <c r="B9" s="7" t="s">
        <v>46</v>
      </c>
      <c r="C9" s="7" t="s">
        <v>121</v>
      </c>
      <c r="D9" s="8">
        <v>45810.658431794691</v>
      </c>
      <c r="E9" s="8">
        <v>45840.658431794691</v>
      </c>
      <c r="F9" s="14">
        <v>30</v>
      </c>
      <c r="G9" s="7" t="s">
        <v>122</v>
      </c>
      <c r="H9" s="7" t="s">
        <v>133</v>
      </c>
    </row>
    <row r="10" spans="1:8" x14ac:dyDescent="0.2">
      <c r="A10" s="7" t="s">
        <v>134</v>
      </c>
      <c r="B10" s="7" t="s">
        <v>101</v>
      </c>
      <c r="C10" s="7" t="s">
        <v>121</v>
      </c>
      <c r="D10" s="8">
        <v>45698.658431794953</v>
      </c>
      <c r="E10" s="8">
        <v>45728.658431794953</v>
      </c>
      <c r="F10" s="14">
        <v>30</v>
      </c>
      <c r="G10" s="7" t="s">
        <v>135</v>
      </c>
      <c r="H10" s="7" t="s">
        <v>126</v>
      </c>
    </row>
    <row r="11" spans="1:8" x14ac:dyDescent="0.2">
      <c r="A11" s="7" t="s">
        <v>136</v>
      </c>
      <c r="B11" s="7" t="s">
        <v>91</v>
      </c>
      <c r="C11" s="7" t="s">
        <v>125</v>
      </c>
      <c r="D11" s="8">
        <v>45952.658431795222</v>
      </c>
      <c r="E11" s="8">
        <v>46317.658431795222</v>
      </c>
      <c r="F11" s="14">
        <v>300</v>
      </c>
      <c r="G11" s="7" t="s">
        <v>128</v>
      </c>
      <c r="H11" s="7" t="s">
        <v>123</v>
      </c>
    </row>
    <row r="12" spans="1:8" x14ac:dyDescent="0.2">
      <c r="A12" s="7" t="s">
        <v>137</v>
      </c>
      <c r="B12" s="7" t="s">
        <v>76</v>
      </c>
      <c r="C12" s="7" t="s">
        <v>130</v>
      </c>
      <c r="D12" s="8">
        <v>45834.658431795477</v>
      </c>
      <c r="E12" s="8">
        <v>45924.658431795477</v>
      </c>
      <c r="F12" s="14">
        <v>80</v>
      </c>
      <c r="G12" s="7" t="s">
        <v>122</v>
      </c>
      <c r="H12" s="7" t="s">
        <v>123</v>
      </c>
    </row>
    <row r="13" spans="1:8" x14ac:dyDescent="0.2">
      <c r="A13" s="7" t="s">
        <v>138</v>
      </c>
      <c r="B13" s="7" t="s">
        <v>46</v>
      </c>
      <c r="C13" s="7" t="s">
        <v>130</v>
      </c>
      <c r="D13" s="8">
        <v>45854.658431796051</v>
      </c>
      <c r="E13" s="8">
        <v>45944.658431796051</v>
      </c>
      <c r="F13" s="14">
        <v>80</v>
      </c>
      <c r="G13" s="7" t="s">
        <v>122</v>
      </c>
      <c r="H13" s="7" t="s">
        <v>139</v>
      </c>
    </row>
    <row r="14" spans="1:8" x14ac:dyDescent="0.2">
      <c r="A14" s="7" t="s">
        <v>140</v>
      </c>
      <c r="B14" s="7" t="s">
        <v>76</v>
      </c>
      <c r="C14" s="7" t="s">
        <v>125</v>
      </c>
      <c r="D14" s="8">
        <v>45959.658431796328</v>
      </c>
      <c r="E14" s="8">
        <v>46324.658431796328</v>
      </c>
      <c r="F14" s="14">
        <v>300</v>
      </c>
      <c r="G14" s="7" t="s">
        <v>122</v>
      </c>
      <c r="H14" s="7" t="s">
        <v>123</v>
      </c>
    </row>
    <row r="15" spans="1:8" x14ac:dyDescent="0.2">
      <c r="A15" s="7" t="s">
        <v>141</v>
      </c>
      <c r="B15" s="7" t="s">
        <v>81</v>
      </c>
      <c r="C15" s="7" t="s">
        <v>121</v>
      </c>
      <c r="D15" s="8">
        <v>45959.658431796583</v>
      </c>
      <c r="E15" s="8">
        <v>45989.658431796583</v>
      </c>
      <c r="F15" s="14">
        <v>30</v>
      </c>
      <c r="G15" s="7" t="s">
        <v>135</v>
      </c>
      <c r="H15" s="7" t="s">
        <v>139</v>
      </c>
    </row>
    <row r="16" spans="1:8" x14ac:dyDescent="0.2">
      <c r="A16" s="7" t="s">
        <v>142</v>
      </c>
      <c r="B16" s="7" t="s">
        <v>91</v>
      </c>
      <c r="C16" s="7" t="s">
        <v>125</v>
      </c>
      <c r="D16" s="8">
        <v>45717.658431796852</v>
      </c>
      <c r="E16" s="8">
        <v>46082.658431796852</v>
      </c>
      <c r="F16" s="14">
        <v>300</v>
      </c>
      <c r="G16" s="7" t="s">
        <v>128</v>
      </c>
      <c r="H16" s="7" t="s">
        <v>126</v>
      </c>
    </row>
    <row r="17" spans="1:8" x14ac:dyDescent="0.2">
      <c r="A17" s="7" t="s">
        <v>143</v>
      </c>
      <c r="B17" s="7" t="s">
        <v>66</v>
      </c>
      <c r="C17" s="7" t="s">
        <v>125</v>
      </c>
      <c r="D17" s="8">
        <v>45686.658431797121</v>
      </c>
      <c r="E17" s="8">
        <v>46051.658431797121</v>
      </c>
      <c r="F17" s="14">
        <v>300</v>
      </c>
      <c r="G17" s="7" t="s">
        <v>135</v>
      </c>
      <c r="H17" s="7" t="s">
        <v>139</v>
      </c>
    </row>
    <row r="18" spans="1:8" x14ac:dyDescent="0.2">
      <c r="A18" s="7" t="s">
        <v>144</v>
      </c>
      <c r="B18" s="7" t="s">
        <v>56</v>
      </c>
      <c r="C18" s="7" t="s">
        <v>121</v>
      </c>
      <c r="D18" s="8">
        <v>45939.658431797383</v>
      </c>
      <c r="E18" s="8">
        <v>45969.658431797383</v>
      </c>
      <c r="F18" s="14">
        <v>30</v>
      </c>
      <c r="G18" s="7" t="s">
        <v>122</v>
      </c>
      <c r="H18" s="7" t="s">
        <v>126</v>
      </c>
    </row>
    <row r="19" spans="1:8" x14ac:dyDescent="0.2">
      <c r="A19" s="7" t="s">
        <v>145</v>
      </c>
      <c r="B19" s="7" t="s">
        <v>36</v>
      </c>
      <c r="C19" s="7" t="s">
        <v>130</v>
      </c>
      <c r="D19" s="8">
        <v>45822.658431797638</v>
      </c>
      <c r="E19" s="8">
        <v>45912.658431797638</v>
      </c>
      <c r="F19" s="14">
        <v>80</v>
      </c>
      <c r="G19" s="7" t="s">
        <v>128</v>
      </c>
      <c r="H19" s="7" t="s">
        <v>126</v>
      </c>
    </row>
    <row r="20" spans="1:8" x14ac:dyDescent="0.2">
      <c r="A20" s="7" t="s">
        <v>146</v>
      </c>
      <c r="B20" s="7" t="s">
        <v>20</v>
      </c>
      <c r="C20" s="7" t="s">
        <v>125</v>
      </c>
      <c r="D20" s="8">
        <v>45671.658431797907</v>
      </c>
      <c r="E20" s="8">
        <v>46036.658431797907</v>
      </c>
      <c r="F20" s="14">
        <v>300</v>
      </c>
      <c r="G20" s="7" t="s">
        <v>122</v>
      </c>
      <c r="H20" s="7" t="s">
        <v>126</v>
      </c>
    </row>
    <row r="21" spans="1:8" x14ac:dyDescent="0.2">
      <c r="A21" s="7" t="s">
        <v>147</v>
      </c>
      <c r="B21" s="7" t="s">
        <v>15</v>
      </c>
      <c r="C21" s="7" t="s">
        <v>121</v>
      </c>
      <c r="D21" s="8">
        <v>45862.658431798169</v>
      </c>
      <c r="E21" s="8">
        <v>45892.658431798169</v>
      </c>
      <c r="F21" s="14">
        <v>30</v>
      </c>
      <c r="G21" s="7" t="s">
        <v>128</v>
      </c>
      <c r="H21" s="7" t="s">
        <v>123</v>
      </c>
    </row>
    <row r="22" spans="1:8" x14ac:dyDescent="0.2">
      <c r="A22" s="7" t="s">
        <v>148</v>
      </c>
      <c r="B22" s="7" t="s">
        <v>9</v>
      </c>
      <c r="C22" s="7" t="s">
        <v>121</v>
      </c>
      <c r="D22" s="8">
        <v>45945.65843179846</v>
      </c>
      <c r="E22" s="8">
        <v>45975.65843179846</v>
      </c>
      <c r="F22" s="14">
        <v>30</v>
      </c>
      <c r="G22" s="7" t="s">
        <v>128</v>
      </c>
      <c r="H22" s="7" t="s">
        <v>126</v>
      </c>
    </row>
    <row r="23" spans="1:8" x14ac:dyDescent="0.2">
      <c r="A23" s="7" t="s">
        <v>149</v>
      </c>
      <c r="B23" s="7" t="s">
        <v>96</v>
      </c>
      <c r="C23" s="7" t="s">
        <v>125</v>
      </c>
      <c r="D23" s="8">
        <v>45977.658431798707</v>
      </c>
      <c r="E23" s="8">
        <v>46342.658431798707</v>
      </c>
      <c r="F23" s="14">
        <v>300</v>
      </c>
      <c r="G23" s="7" t="s">
        <v>128</v>
      </c>
      <c r="H23" s="7" t="s">
        <v>126</v>
      </c>
    </row>
  </sheetData>
  <sheetProtection sheet="1" formatCells="0"/>
  <mergeCells count="1">
    <mergeCell ref="A1:H1"/>
  </mergeCells>
  <dataValidations count="3">
    <dataValidation type="list" showDropDown="1" sqref="C4:C23" xr:uid="{00000000-0002-0000-0100-000000000000}">
      <formula1>"Mensuel,Trimestriel,Annuel"</formula1>
    </dataValidation>
    <dataValidation type="list" showDropDown="1" sqref="G4:G23" xr:uid="{00000000-0002-0000-0100-000001000000}">
      <formula1>"Actif,Expiré,Résilié"</formula1>
    </dataValidation>
    <dataValidation type="list" showDropDown="1" sqref="H4:H23" xr:uid="{00000000-0002-0000-0100-000002000000}">
      <formula1>"Espèces,Carte,Chèque,Virement"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zoomScale="180" zoomScaleNormal="180" workbookViewId="0">
      <selection sqref="A1:XFD1048576"/>
    </sheetView>
  </sheetViews>
  <sheetFormatPr baseColWidth="10" defaultColWidth="8.83203125" defaultRowHeight="15" x14ac:dyDescent="0.2"/>
  <cols>
    <col min="1" max="6" width="15" style="7" customWidth="1"/>
    <col min="7" max="16384" width="8.83203125" style="7"/>
  </cols>
  <sheetData>
    <row r="1" spans="1:6" x14ac:dyDescent="0.2">
      <c r="A1" s="5" t="s">
        <v>150</v>
      </c>
      <c r="B1" s="6"/>
      <c r="C1" s="6"/>
      <c r="D1" s="6"/>
      <c r="E1" s="6"/>
      <c r="F1" s="6"/>
    </row>
    <row r="3" spans="1:6" x14ac:dyDescent="0.2">
      <c r="A3" s="1" t="s">
        <v>151</v>
      </c>
      <c r="B3" s="1" t="s">
        <v>113</v>
      </c>
      <c r="C3" s="1" t="s">
        <v>152</v>
      </c>
      <c r="D3" s="1" t="s">
        <v>153</v>
      </c>
      <c r="E3" s="1" t="s">
        <v>154</v>
      </c>
      <c r="F3" s="1" t="s">
        <v>118</v>
      </c>
    </row>
    <row r="4" spans="1:6" x14ac:dyDescent="0.2">
      <c r="A4" s="7" t="s">
        <v>155</v>
      </c>
      <c r="B4" s="7" t="s">
        <v>81</v>
      </c>
      <c r="C4" s="8">
        <v>45906.658431803262</v>
      </c>
      <c r="D4" s="14">
        <v>85</v>
      </c>
      <c r="E4" s="7" t="s">
        <v>133</v>
      </c>
      <c r="F4" s="7" t="s">
        <v>156</v>
      </c>
    </row>
    <row r="5" spans="1:6" x14ac:dyDescent="0.2">
      <c r="A5" s="7" t="s">
        <v>157</v>
      </c>
      <c r="B5" s="7" t="s">
        <v>101</v>
      </c>
      <c r="C5" s="8">
        <v>45781.658431803517</v>
      </c>
      <c r="D5" s="14">
        <v>80</v>
      </c>
      <c r="E5" s="7" t="s">
        <v>126</v>
      </c>
      <c r="F5" s="7" t="s">
        <v>156</v>
      </c>
    </row>
    <row r="6" spans="1:6" x14ac:dyDescent="0.2">
      <c r="A6" s="7" t="s">
        <v>158</v>
      </c>
      <c r="B6" s="7" t="s">
        <v>91</v>
      </c>
      <c r="C6" s="8">
        <v>45659.658431803728</v>
      </c>
      <c r="D6" s="14">
        <v>85</v>
      </c>
      <c r="E6" s="7" t="s">
        <v>126</v>
      </c>
      <c r="F6" s="7" t="s">
        <v>156</v>
      </c>
    </row>
    <row r="7" spans="1:6" x14ac:dyDescent="0.2">
      <c r="A7" s="7" t="s">
        <v>159</v>
      </c>
      <c r="B7" s="7" t="s">
        <v>96</v>
      </c>
      <c r="C7" s="8">
        <v>45709.658431803953</v>
      </c>
      <c r="D7" s="14">
        <v>85</v>
      </c>
      <c r="E7" s="7" t="s">
        <v>139</v>
      </c>
      <c r="F7" s="7" t="s">
        <v>156</v>
      </c>
    </row>
    <row r="8" spans="1:6" x14ac:dyDescent="0.2">
      <c r="A8" s="7" t="s">
        <v>160</v>
      </c>
      <c r="B8" s="7" t="s">
        <v>9</v>
      </c>
      <c r="C8" s="8">
        <v>45751.658431804142</v>
      </c>
      <c r="D8" s="14">
        <v>80</v>
      </c>
      <c r="E8" s="7" t="s">
        <v>139</v>
      </c>
      <c r="F8" s="7" t="s">
        <v>156</v>
      </c>
    </row>
    <row r="9" spans="1:6" x14ac:dyDescent="0.2">
      <c r="A9" s="7" t="s">
        <v>161</v>
      </c>
      <c r="B9" s="7" t="s">
        <v>56</v>
      </c>
      <c r="C9" s="8">
        <v>45924.658431804331</v>
      </c>
      <c r="D9" s="14">
        <v>300</v>
      </c>
      <c r="E9" s="7" t="s">
        <v>133</v>
      </c>
      <c r="F9" s="7" t="s">
        <v>156</v>
      </c>
    </row>
    <row r="10" spans="1:6" x14ac:dyDescent="0.2">
      <c r="A10" s="7" t="s">
        <v>162</v>
      </c>
      <c r="B10" s="7" t="s">
        <v>20</v>
      </c>
      <c r="C10" s="8">
        <v>45861.658431804528</v>
      </c>
      <c r="D10" s="14">
        <v>35</v>
      </c>
      <c r="E10" s="7" t="s">
        <v>126</v>
      </c>
      <c r="F10" s="7" t="s">
        <v>156</v>
      </c>
    </row>
    <row r="11" spans="1:6" x14ac:dyDescent="0.2">
      <c r="A11" s="7" t="s">
        <v>163</v>
      </c>
      <c r="B11" s="7" t="s">
        <v>15</v>
      </c>
      <c r="C11" s="8">
        <v>45745.65843180471</v>
      </c>
      <c r="D11" s="14">
        <v>310</v>
      </c>
      <c r="E11" s="7" t="s">
        <v>133</v>
      </c>
      <c r="F11" s="7" t="s">
        <v>156</v>
      </c>
    </row>
    <row r="12" spans="1:6" x14ac:dyDescent="0.2">
      <c r="A12" s="7" t="s">
        <v>164</v>
      </c>
      <c r="B12" s="7" t="s">
        <v>76</v>
      </c>
      <c r="C12" s="8">
        <v>45845.658431804914</v>
      </c>
      <c r="D12" s="14">
        <v>35</v>
      </c>
      <c r="E12" s="7" t="s">
        <v>133</v>
      </c>
      <c r="F12" s="7" t="s">
        <v>156</v>
      </c>
    </row>
    <row r="13" spans="1:6" x14ac:dyDescent="0.2">
      <c r="A13" s="7" t="s">
        <v>165</v>
      </c>
      <c r="B13" s="7" t="s">
        <v>71</v>
      </c>
      <c r="C13" s="8">
        <v>45977.658431805103</v>
      </c>
      <c r="D13" s="14">
        <v>30</v>
      </c>
      <c r="E13" s="7" t="s">
        <v>133</v>
      </c>
      <c r="F13" s="7" t="s">
        <v>156</v>
      </c>
    </row>
    <row r="14" spans="1:6" x14ac:dyDescent="0.2">
      <c r="A14" s="7" t="s">
        <v>166</v>
      </c>
      <c r="B14" s="7" t="s">
        <v>66</v>
      </c>
      <c r="C14" s="8">
        <v>45877.658431805292</v>
      </c>
      <c r="D14" s="14">
        <v>310</v>
      </c>
      <c r="E14" s="7" t="s">
        <v>126</v>
      </c>
      <c r="F14" s="7" t="s">
        <v>156</v>
      </c>
    </row>
    <row r="15" spans="1:6" x14ac:dyDescent="0.2">
      <c r="A15" s="7" t="s">
        <v>167</v>
      </c>
      <c r="B15" s="7" t="s">
        <v>31</v>
      </c>
      <c r="C15" s="8">
        <v>45875.658431805488</v>
      </c>
      <c r="D15" s="14">
        <v>35</v>
      </c>
      <c r="E15" s="7" t="s">
        <v>139</v>
      </c>
      <c r="F15" s="7" t="s">
        <v>156</v>
      </c>
    </row>
    <row r="16" spans="1:6" x14ac:dyDescent="0.2">
      <c r="A16" s="7" t="s">
        <v>168</v>
      </c>
      <c r="B16" s="7" t="s">
        <v>101</v>
      </c>
      <c r="C16" s="8">
        <v>45882.65843180567</v>
      </c>
      <c r="D16" s="14">
        <v>300</v>
      </c>
      <c r="E16" s="7" t="s">
        <v>133</v>
      </c>
      <c r="F16" s="7" t="s">
        <v>156</v>
      </c>
    </row>
    <row r="17" spans="1:6" x14ac:dyDescent="0.2">
      <c r="A17" s="7" t="s">
        <v>169</v>
      </c>
      <c r="B17" s="7" t="s">
        <v>46</v>
      </c>
      <c r="C17" s="8">
        <v>45869.658431805918</v>
      </c>
      <c r="D17" s="14">
        <v>85</v>
      </c>
      <c r="E17" s="7" t="s">
        <v>139</v>
      </c>
      <c r="F17" s="7" t="s">
        <v>156</v>
      </c>
    </row>
    <row r="18" spans="1:6" x14ac:dyDescent="0.2">
      <c r="A18" s="7" t="s">
        <v>170</v>
      </c>
      <c r="B18" s="7" t="s">
        <v>71</v>
      </c>
      <c r="C18" s="8">
        <v>45666.658431806121</v>
      </c>
      <c r="D18" s="14">
        <v>300</v>
      </c>
      <c r="E18" s="7" t="s">
        <v>126</v>
      </c>
      <c r="F18" s="7" t="s">
        <v>156</v>
      </c>
    </row>
    <row r="19" spans="1:6" x14ac:dyDescent="0.2">
      <c r="A19" s="7" t="s">
        <v>171</v>
      </c>
      <c r="B19" s="7" t="s">
        <v>76</v>
      </c>
      <c r="C19" s="8">
        <v>45871.658431806318</v>
      </c>
      <c r="D19" s="14">
        <v>310</v>
      </c>
      <c r="E19" s="7" t="s">
        <v>139</v>
      </c>
      <c r="F19" s="7" t="s">
        <v>156</v>
      </c>
    </row>
    <row r="20" spans="1:6" x14ac:dyDescent="0.2">
      <c r="A20" s="7" t="s">
        <v>172</v>
      </c>
      <c r="B20" s="7" t="s">
        <v>81</v>
      </c>
      <c r="C20" s="8">
        <v>45991.658431806507</v>
      </c>
      <c r="D20" s="14">
        <v>35</v>
      </c>
      <c r="E20" s="7" t="s">
        <v>139</v>
      </c>
      <c r="F20" s="7" t="s">
        <v>156</v>
      </c>
    </row>
    <row r="21" spans="1:6" x14ac:dyDescent="0.2">
      <c r="A21" s="7" t="s">
        <v>173</v>
      </c>
      <c r="B21" s="7" t="s">
        <v>46</v>
      </c>
      <c r="C21" s="8">
        <v>45948.658431806689</v>
      </c>
      <c r="D21" s="14">
        <v>300</v>
      </c>
      <c r="E21" s="7" t="s">
        <v>139</v>
      </c>
      <c r="F21" s="7" t="s">
        <v>156</v>
      </c>
    </row>
    <row r="22" spans="1:6" x14ac:dyDescent="0.2">
      <c r="A22" s="7" t="s">
        <v>174</v>
      </c>
      <c r="B22" s="7" t="s">
        <v>9</v>
      </c>
      <c r="C22" s="8">
        <v>45754.658431806864</v>
      </c>
      <c r="D22" s="14">
        <v>85</v>
      </c>
      <c r="E22" s="7" t="s">
        <v>126</v>
      </c>
      <c r="F22" s="7" t="s">
        <v>156</v>
      </c>
    </row>
    <row r="23" spans="1:6" x14ac:dyDescent="0.2">
      <c r="A23" s="7" t="s">
        <v>175</v>
      </c>
      <c r="B23" s="7" t="s">
        <v>51</v>
      </c>
      <c r="C23" s="8">
        <v>45834.658431807053</v>
      </c>
      <c r="D23" s="14">
        <v>80</v>
      </c>
      <c r="E23" s="7" t="s">
        <v>126</v>
      </c>
      <c r="F23" s="7" t="s">
        <v>156</v>
      </c>
    </row>
    <row r="24" spans="1:6" x14ac:dyDescent="0.2">
      <c r="A24" s="7" t="s">
        <v>176</v>
      </c>
      <c r="B24" s="7" t="s">
        <v>20</v>
      </c>
      <c r="C24" s="8">
        <v>45972.65843180722</v>
      </c>
      <c r="D24" s="14">
        <v>300</v>
      </c>
      <c r="E24" s="7" t="s">
        <v>139</v>
      </c>
      <c r="F24" s="7" t="s">
        <v>156</v>
      </c>
    </row>
    <row r="25" spans="1:6" x14ac:dyDescent="0.2">
      <c r="A25" s="7" t="s">
        <v>177</v>
      </c>
      <c r="B25" s="7" t="s">
        <v>9</v>
      </c>
      <c r="C25" s="8">
        <v>45983.658431807387</v>
      </c>
      <c r="D25" s="14">
        <v>30</v>
      </c>
      <c r="E25" s="7" t="s">
        <v>133</v>
      </c>
      <c r="F25" s="7" t="s">
        <v>156</v>
      </c>
    </row>
    <row r="26" spans="1:6" x14ac:dyDescent="0.2">
      <c r="A26" s="7" t="s">
        <v>178</v>
      </c>
      <c r="B26" s="7" t="s">
        <v>36</v>
      </c>
      <c r="C26" s="8">
        <v>45694.658431807577</v>
      </c>
      <c r="D26" s="14">
        <v>85</v>
      </c>
      <c r="E26" s="7" t="s">
        <v>139</v>
      </c>
      <c r="F26" s="7" t="s">
        <v>156</v>
      </c>
    </row>
    <row r="27" spans="1:6" x14ac:dyDescent="0.2">
      <c r="A27" s="7" t="s">
        <v>179</v>
      </c>
      <c r="B27" s="7" t="s">
        <v>96</v>
      </c>
      <c r="C27" s="8">
        <v>45722.658431807751</v>
      </c>
      <c r="D27" s="14">
        <v>85</v>
      </c>
      <c r="E27" s="7" t="s">
        <v>139</v>
      </c>
      <c r="F27" s="7" t="s">
        <v>156</v>
      </c>
    </row>
    <row r="28" spans="1:6" x14ac:dyDescent="0.2">
      <c r="A28" s="7" t="s">
        <v>180</v>
      </c>
      <c r="B28" s="7" t="s">
        <v>9</v>
      </c>
      <c r="C28" s="8">
        <v>45922.658431807933</v>
      </c>
      <c r="D28" s="14">
        <v>80</v>
      </c>
      <c r="E28" s="7" t="s">
        <v>126</v>
      </c>
      <c r="F28" s="7" t="s">
        <v>156</v>
      </c>
    </row>
    <row r="29" spans="1:6" x14ac:dyDescent="0.2">
      <c r="A29" s="7" t="s">
        <v>181</v>
      </c>
      <c r="B29" s="7" t="s">
        <v>71</v>
      </c>
      <c r="C29" s="8">
        <v>45816.6584318081</v>
      </c>
      <c r="D29" s="14">
        <v>35</v>
      </c>
      <c r="E29" s="7" t="s">
        <v>133</v>
      </c>
      <c r="F29" s="7" t="s">
        <v>156</v>
      </c>
    </row>
    <row r="30" spans="1:6" x14ac:dyDescent="0.2">
      <c r="A30" s="7" t="s">
        <v>182</v>
      </c>
      <c r="B30" s="7" t="s">
        <v>26</v>
      </c>
      <c r="C30" s="8">
        <v>45944.65843180829</v>
      </c>
      <c r="D30" s="14">
        <v>310</v>
      </c>
      <c r="E30" s="7" t="s">
        <v>139</v>
      </c>
      <c r="F30" s="7" t="s">
        <v>156</v>
      </c>
    </row>
    <row r="31" spans="1:6" x14ac:dyDescent="0.2">
      <c r="A31" s="7" t="s">
        <v>183</v>
      </c>
      <c r="B31" s="7" t="s">
        <v>66</v>
      </c>
      <c r="C31" s="8">
        <v>45953.658431808537</v>
      </c>
      <c r="D31" s="14">
        <v>35</v>
      </c>
      <c r="E31" s="7" t="s">
        <v>133</v>
      </c>
      <c r="F31" s="7" t="s">
        <v>156</v>
      </c>
    </row>
    <row r="32" spans="1:6" x14ac:dyDescent="0.2">
      <c r="A32" s="7" t="s">
        <v>184</v>
      </c>
      <c r="B32" s="7" t="s">
        <v>51</v>
      </c>
      <c r="C32" s="8">
        <v>45798.658431808733</v>
      </c>
      <c r="D32" s="14">
        <v>35</v>
      </c>
      <c r="E32" s="7" t="s">
        <v>126</v>
      </c>
      <c r="F32" s="7" t="s">
        <v>156</v>
      </c>
    </row>
    <row r="33" spans="1:6" x14ac:dyDescent="0.2">
      <c r="A33" s="7" t="s">
        <v>185</v>
      </c>
      <c r="B33" s="7" t="s">
        <v>71</v>
      </c>
      <c r="C33" s="8">
        <v>45919.658431809163</v>
      </c>
      <c r="D33" s="14">
        <v>35</v>
      </c>
      <c r="E33" s="7" t="s">
        <v>139</v>
      </c>
      <c r="F33" s="7" t="s">
        <v>156</v>
      </c>
    </row>
    <row r="34" spans="1:6" x14ac:dyDescent="0.2">
      <c r="A34" s="7" t="s">
        <v>186</v>
      </c>
      <c r="B34" s="7" t="s">
        <v>71</v>
      </c>
      <c r="C34" s="8">
        <v>45903.658431809337</v>
      </c>
      <c r="D34" s="14">
        <v>80</v>
      </c>
      <c r="E34" s="7" t="s">
        <v>126</v>
      </c>
      <c r="F34" s="7" t="s">
        <v>156</v>
      </c>
    </row>
    <row r="35" spans="1:6" x14ac:dyDescent="0.2">
      <c r="A35" s="7" t="s">
        <v>187</v>
      </c>
      <c r="B35" s="7" t="s">
        <v>51</v>
      </c>
      <c r="C35" s="8">
        <v>45917.658431809527</v>
      </c>
      <c r="D35" s="14">
        <v>85</v>
      </c>
      <c r="E35" s="7" t="s">
        <v>133</v>
      </c>
      <c r="F35" s="7" t="s">
        <v>156</v>
      </c>
    </row>
    <row r="36" spans="1:6" x14ac:dyDescent="0.2">
      <c r="A36" s="7" t="s">
        <v>188</v>
      </c>
      <c r="B36" s="7" t="s">
        <v>46</v>
      </c>
      <c r="C36" s="8">
        <v>45812.658431809701</v>
      </c>
      <c r="D36" s="14">
        <v>300</v>
      </c>
      <c r="E36" s="7" t="s">
        <v>133</v>
      </c>
      <c r="F36" s="7" t="s">
        <v>156</v>
      </c>
    </row>
    <row r="37" spans="1:6" x14ac:dyDescent="0.2">
      <c r="A37" s="7" t="s">
        <v>189</v>
      </c>
      <c r="B37" s="7" t="s">
        <v>86</v>
      </c>
      <c r="C37" s="8">
        <v>45676.658431809883</v>
      </c>
      <c r="D37" s="14">
        <v>85</v>
      </c>
      <c r="E37" s="7" t="s">
        <v>126</v>
      </c>
      <c r="F37" s="7" t="s">
        <v>156</v>
      </c>
    </row>
    <row r="38" spans="1:6" x14ac:dyDescent="0.2">
      <c r="A38" s="7" t="s">
        <v>190</v>
      </c>
      <c r="B38" s="7" t="s">
        <v>91</v>
      </c>
      <c r="C38" s="8">
        <v>45972.658431810043</v>
      </c>
      <c r="D38" s="14">
        <v>80</v>
      </c>
      <c r="E38" s="7" t="s">
        <v>139</v>
      </c>
      <c r="F38" s="7" t="s">
        <v>156</v>
      </c>
    </row>
    <row r="39" spans="1:6" x14ac:dyDescent="0.2">
      <c r="A39" s="7" t="s">
        <v>191</v>
      </c>
      <c r="B39" s="7" t="s">
        <v>91</v>
      </c>
      <c r="C39" s="8">
        <v>45899.658431810232</v>
      </c>
      <c r="D39" s="14">
        <v>80</v>
      </c>
      <c r="E39" s="7" t="s">
        <v>133</v>
      </c>
      <c r="F39" s="7" t="s">
        <v>156</v>
      </c>
    </row>
    <row r="40" spans="1:6" x14ac:dyDescent="0.2">
      <c r="A40" s="7" t="s">
        <v>192</v>
      </c>
      <c r="B40" s="7" t="s">
        <v>41</v>
      </c>
      <c r="C40" s="8">
        <v>45698.658431810407</v>
      </c>
      <c r="D40" s="14">
        <v>80</v>
      </c>
      <c r="E40" s="7" t="s">
        <v>133</v>
      </c>
      <c r="F40" s="7" t="s">
        <v>156</v>
      </c>
    </row>
    <row r="41" spans="1:6" x14ac:dyDescent="0.2">
      <c r="A41" s="7" t="s">
        <v>193</v>
      </c>
      <c r="B41" s="7" t="s">
        <v>26</v>
      </c>
      <c r="C41" s="8">
        <v>45793.658431810582</v>
      </c>
      <c r="D41" s="14">
        <v>30</v>
      </c>
      <c r="E41" s="7" t="s">
        <v>126</v>
      </c>
      <c r="F41" s="7" t="s">
        <v>156</v>
      </c>
    </row>
    <row r="42" spans="1:6" x14ac:dyDescent="0.2">
      <c r="A42" s="7" t="s">
        <v>194</v>
      </c>
      <c r="B42" s="7" t="s">
        <v>101</v>
      </c>
      <c r="C42" s="8">
        <v>45835.658431810749</v>
      </c>
      <c r="D42" s="14">
        <v>300</v>
      </c>
      <c r="E42" s="7" t="s">
        <v>139</v>
      </c>
      <c r="F42" s="7" t="s">
        <v>156</v>
      </c>
    </row>
    <row r="43" spans="1:6" x14ac:dyDescent="0.2">
      <c r="A43" s="7" t="s">
        <v>195</v>
      </c>
      <c r="B43" s="7" t="s">
        <v>86</v>
      </c>
      <c r="C43" s="8">
        <v>45724.658431810924</v>
      </c>
      <c r="D43" s="14">
        <v>310</v>
      </c>
      <c r="E43" s="7" t="s">
        <v>139</v>
      </c>
      <c r="F43" s="7" t="s">
        <v>156</v>
      </c>
    </row>
    <row r="44" spans="1:6" x14ac:dyDescent="0.2">
      <c r="A44" s="7" t="s">
        <v>196</v>
      </c>
      <c r="B44" s="7" t="s">
        <v>20</v>
      </c>
      <c r="C44" s="8">
        <v>45748.658431811113</v>
      </c>
      <c r="D44" s="14">
        <v>85</v>
      </c>
      <c r="E44" s="7" t="s">
        <v>126</v>
      </c>
      <c r="F44" s="7" t="s">
        <v>156</v>
      </c>
    </row>
    <row r="45" spans="1:6" x14ac:dyDescent="0.2">
      <c r="A45" s="7" t="s">
        <v>197</v>
      </c>
      <c r="B45" s="7" t="s">
        <v>96</v>
      </c>
      <c r="C45" s="8">
        <v>45844.658431811287</v>
      </c>
      <c r="D45" s="14">
        <v>80</v>
      </c>
      <c r="E45" s="7" t="s">
        <v>126</v>
      </c>
      <c r="F45" s="7" t="s">
        <v>156</v>
      </c>
    </row>
    <row r="46" spans="1:6" x14ac:dyDescent="0.2">
      <c r="A46" s="7" t="s">
        <v>198</v>
      </c>
      <c r="B46" s="7" t="s">
        <v>76</v>
      </c>
      <c r="C46" s="8">
        <v>45898.658431811462</v>
      </c>
      <c r="D46" s="14">
        <v>30</v>
      </c>
      <c r="E46" s="7" t="s">
        <v>126</v>
      </c>
      <c r="F46" s="7" t="s">
        <v>156</v>
      </c>
    </row>
    <row r="47" spans="1:6" x14ac:dyDescent="0.2">
      <c r="A47" s="7" t="s">
        <v>199</v>
      </c>
      <c r="B47" s="7" t="s">
        <v>31</v>
      </c>
      <c r="C47" s="8">
        <v>45956.658431811658</v>
      </c>
      <c r="D47" s="14">
        <v>80</v>
      </c>
      <c r="E47" s="7" t="s">
        <v>133</v>
      </c>
      <c r="F47" s="7" t="s">
        <v>156</v>
      </c>
    </row>
    <row r="48" spans="1:6" x14ac:dyDescent="0.2">
      <c r="A48" s="7" t="s">
        <v>200</v>
      </c>
      <c r="B48" s="7" t="s">
        <v>81</v>
      </c>
      <c r="C48" s="8">
        <v>45693.658431811833</v>
      </c>
      <c r="D48" s="14">
        <v>35</v>
      </c>
      <c r="E48" s="7" t="s">
        <v>133</v>
      </c>
      <c r="F48" s="7" t="s">
        <v>156</v>
      </c>
    </row>
    <row r="49" spans="1:6" x14ac:dyDescent="0.2">
      <c r="A49" s="7" t="s">
        <v>201</v>
      </c>
      <c r="B49" s="7" t="s">
        <v>86</v>
      </c>
      <c r="C49" s="8">
        <v>45930.658431812008</v>
      </c>
      <c r="D49" s="14">
        <v>300</v>
      </c>
      <c r="E49" s="7" t="s">
        <v>133</v>
      </c>
      <c r="F49" s="7" t="s">
        <v>156</v>
      </c>
    </row>
    <row r="50" spans="1:6" x14ac:dyDescent="0.2">
      <c r="A50" s="7" t="s">
        <v>202</v>
      </c>
      <c r="B50" s="7" t="s">
        <v>46</v>
      </c>
      <c r="C50" s="8">
        <v>45668.658431812197</v>
      </c>
      <c r="D50" s="14">
        <v>35</v>
      </c>
      <c r="E50" s="7" t="s">
        <v>139</v>
      </c>
      <c r="F50" s="7" t="s">
        <v>156</v>
      </c>
    </row>
    <row r="51" spans="1:6" x14ac:dyDescent="0.2">
      <c r="A51" s="7" t="s">
        <v>203</v>
      </c>
      <c r="B51" s="7" t="s">
        <v>66</v>
      </c>
      <c r="C51" s="8">
        <v>45646.658431812371</v>
      </c>
      <c r="D51" s="14">
        <v>80</v>
      </c>
      <c r="E51" s="7" t="s">
        <v>126</v>
      </c>
      <c r="F51" s="7" t="s">
        <v>156</v>
      </c>
    </row>
    <row r="52" spans="1:6" x14ac:dyDescent="0.2">
      <c r="A52" s="7" t="s">
        <v>204</v>
      </c>
      <c r="B52" s="7" t="s">
        <v>36</v>
      </c>
      <c r="C52" s="8">
        <v>45742.658431812553</v>
      </c>
      <c r="D52" s="14">
        <v>35</v>
      </c>
      <c r="E52" s="7" t="s">
        <v>126</v>
      </c>
      <c r="F52" s="7" t="s">
        <v>156</v>
      </c>
    </row>
    <row r="53" spans="1:6" x14ac:dyDescent="0.2">
      <c r="A53" s="7" t="s">
        <v>205</v>
      </c>
      <c r="B53" s="7" t="s">
        <v>56</v>
      </c>
      <c r="C53" s="8">
        <v>45839.658431812742</v>
      </c>
      <c r="D53" s="14">
        <v>300</v>
      </c>
      <c r="E53" s="7" t="s">
        <v>126</v>
      </c>
      <c r="F53" s="7" t="s">
        <v>156</v>
      </c>
    </row>
  </sheetData>
  <sheetProtection sheet="1" formatCells="0"/>
  <mergeCells count="1">
    <mergeCell ref="A1:F1"/>
  </mergeCells>
  <dataValidations count="2">
    <dataValidation type="list" showDropDown="1" sqref="E4:E53" xr:uid="{00000000-0002-0000-0200-000000000000}">
      <formula1>"Espèces,Carte,Chèque,Virement"</formula1>
    </dataValidation>
    <dataValidation type="list" showDropDown="1" sqref="F4:F53" xr:uid="{00000000-0002-0000-0200-000001000000}">
      <formula1>"Payé,En attente,Annulé"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zoomScale="180" zoomScaleNormal="180" workbookViewId="0">
      <selection sqref="A1:G1"/>
    </sheetView>
  </sheetViews>
  <sheetFormatPr baseColWidth="10" defaultColWidth="8.83203125" defaultRowHeight="15" x14ac:dyDescent="0.2"/>
  <cols>
    <col min="1" max="7" width="15" customWidth="1"/>
  </cols>
  <sheetData>
    <row r="1" spans="1:7" x14ac:dyDescent="0.2">
      <c r="A1" s="5" t="s">
        <v>206</v>
      </c>
      <c r="B1" s="6"/>
      <c r="C1" s="6"/>
      <c r="D1" s="6"/>
      <c r="E1" s="6"/>
      <c r="F1" s="6"/>
      <c r="G1" s="6"/>
    </row>
    <row r="3" spans="1:7" x14ac:dyDescent="0.2">
      <c r="A3" s="1" t="s">
        <v>207</v>
      </c>
      <c r="B3" s="1" t="s">
        <v>113</v>
      </c>
      <c r="C3" s="1" t="s">
        <v>152</v>
      </c>
      <c r="D3" s="1" t="s">
        <v>208</v>
      </c>
      <c r="E3" s="1" t="s">
        <v>209</v>
      </c>
      <c r="F3" s="1" t="s">
        <v>210</v>
      </c>
      <c r="G3" s="1" t="s">
        <v>211</v>
      </c>
    </row>
    <row r="4" spans="1:7" x14ac:dyDescent="0.2">
      <c r="A4" t="s">
        <v>212</v>
      </c>
      <c r="B4" t="s">
        <v>76</v>
      </c>
      <c r="C4" s="2">
        <v>45993.658431817777</v>
      </c>
      <c r="D4" s="3">
        <v>45993.729166666657</v>
      </c>
      <c r="E4" s="3">
        <v>45993.790277777778</v>
      </c>
      <c r="F4">
        <f t="shared" ref="F4:F35" si="0">HOUR(E4-D4)*60 + MINUTE(E4-D4)</f>
        <v>88</v>
      </c>
      <c r="G4" t="s">
        <v>213</v>
      </c>
    </row>
    <row r="5" spans="1:7" x14ac:dyDescent="0.2">
      <c r="A5" t="s">
        <v>214</v>
      </c>
      <c r="B5" t="s">
        <v>26</v>
      </c>
      <c r="C5" s="2">
        <v>45987.658431818127</v>
      </c>
      <c r="D5" s="3">
        <v>45987.727083333331</v>
      </c>
      <c r="E5" s="3">
        <v>45987.768750000003</v>
      </c>
      <c r="F5">
        <f t="shared" si="0"/>
        <v>60</v>
      </c>
      <c r="G5" t="s">
        <v>215</v>
      </c>
    </row>
    <row r="6" spans="1:7" x14ac:dyDescent="0.2">
      <c r="A6" t="s">
        <v>216</v>
      </c>
      <c r="B6" t="s">
        <v>36</v>
      </c>
      <c r="C6" s="2">
        <v>45988.658431818418</v>
      </c>
      <c r="D6" s="3">
        <v>45988.337500000001</v>
      </c>
      <c r="E6" s="3">
        <v>45988.390972222223</v>
      </c>
      <c r="F6">
        <f t="shared" si="0"/>
        <v>77</v>
      </c>
      <c r="G6" t="s">
        <v>213</v>
      </c>
    </row>
    <row r="7" spans="1:7" x14ac:dyDescent="0.2">
      <c r="A7" t="s">
        <v>217</v>
      </c>
      <c r="B7" t="s">
        <v>26</v>
      </c>
      <c r="C7" s="2">
        <v>45977.65843181868</v>
      </c>
      <c r="D7" s="3">
        <v>45977.652777777781</v>
      </c>
      <c r="E7" s="3">
        <v>45977.685416666667</v>
      </c>
      <c r="F7">
        <f t="shared" si="0"/>
        <v>47</v>
      </c>
      <c r="G7" t="s">
        <v>218</v>
      </c>
    </row>
    <row r="8" spans="1:7" x14ac:dyDescent="0.2">
      <c r="A8" t="s">
        <v>219</v>
      </c>
      <c r="B8" t="s">
        <v>26</v>
      </c>
      <c r="C8" s="2">
        <v>45972.658431818949</v>
      </c>
      <c r="D8" s="3">
        <v>45972.417361111111</v>
      </c>
      <c r="E8" s="3">
        <v>45972.439583333333</v>
      </c>
      <c r="F8">
        <f t="shared" si="0"/>
        <v>32</v>
      </c>
      <c r="G8" t="s">
        <v>215</v>
      </c>
    </row>
    <row r="9" spans="1:7" x14ac:dyDescent="0.2">
      <c r="A9" t="s">
        <v>220</v>
      </c>
      <c r="B9" t="s">
        <v>26</v>
      </c>
      <c r="C9" s="2">
        <v>45986.658431819211</v>
      </c>
      <c r="D9" s="3">
        <v>45986.640972222223</v>
      </c>
      <c r="E9" s="3">
        <v>45986.692361111112</v>
      </c>
      <c r="F9">
        <f t="shared" si="0"/>
        <v>74</v>
      </c>
      <c r="G9" t="s">
        <v>215</v>
      </c>
    </row>
    <row r="10" spans="1:7" x14ac:dyDescent="0.2">
      <c r="A10" t="s">
        <v>221</v>
      </c>
      <c r="B10" t="s">
        <v>96</v>
      </c>
      <c r="C10" s="2">
        <v>45975.658431819473</v>
      </c>
      <c r="D10" s="3">
        <v>45975.835416666669</v>
      </c>
      <c r="E10" s="3">
        <v>45975.868055555547</v>
      </c>
      <c r="F10">
        <f t="shared" si="0"/>
        <v>47</v>
      </c>
      <c r="G10" t="s">
        <v>218</v>
      </c>
    </row>
    <row r="11" spans="1:7" x14ac:dyDescent="0.2">
      <c r="A11" t="s">
        <v>222</v>
      </c>
      <c r="B11" t="s">
        <v>81</v>
      </c>
      <c r="C11" s="2">
        <v>45984.658431819727</v>
      </c>
      <c r="D11" s="3">
        <v>45984.425000000003</v>
      </c>
      <c r="E11" s="3">
        <v>45984.461111111108</v>
      </c>
      <c r="F11">
        <f t="shared" si="0"/>
        <v>52</v>
      </c>
      <c r="G11" t="s">
        <v>218</v>
      </c>
    </row>
    <row r="12" spans="1:7" x14ac:dyDescent="0.2">
      <c r="A12" t="s">
        <v>223</v>
      </c>
      <c r="B12" t="s">
        <v>71</v>
      </c>
      <c r="C12" s="2">
        <v>45989.658431819989</v>
      </c>
      <c r="D12" s="3">
        <v>45989.629861111112</v>
      </c>
      <c r="E12" s="3">
        <v>45989.674305555563</v>
      </c>
      <c r="F12">
        <f t="shared" si="0"/>
        <v>64</v>
      </c>
      <c r="G12" t="s">
        <v>224</v>
      </c>
    </row>
    <row r="13" spans="1:7" x14ac:dyDescent="0.2">
      <c r="A13" t="s">
        <v>225</v>
      </c>
      <c r="B13" t="s">
        <v>15</v>
      </c>
      <c r="C13" s="2">
        <v>45971.658431820251</v>
      </c>
      <c r="D13" s="3">
        <v>45971.631249999999</v>
      </c>
      <c r="E13" s="3">
        <v>45971.702777777777</v>
      </c>
      <c r="F13">
        <f t="shared" si="0"/>
        <v>103</v>
      </c>
      <c r="G13" t="s">
        <v>218</v>
      </c>
    </row>
    <row r="14" spans="1:7" x14ac:dyDescent="0.2">
      <c r="A14" t="s">
        <v>226</v>
      </c>
      <c r="B14" t="s">
        <v>41</v>
      </c>
      <c r="C14" s="2">
        <v>45996.658431820542</v>
      </c>
      <c r="D14" s="3">
        <v>45996.546527777777</v>
      </c>
      <c r="E14" s="3">
        <v>45996.591666666667</v>
      </c>
      <c r="F14">
        <f t="shared" si="0"/>
        <v>65</v>
      </c>
      <c r="G14" t="s">
        <v>215</v>
      </c>
    </row>
    <row r="15" spans="1:7" x14ac:dyDescent="0.2">
      <c r="A15" t="s">
        <v>227</v>
      </c>
      <c r="B15" t="s">
        <v>86</v>
      </c>
      <c r="C15" s="2">
        <v>45992.658431820819</v>
      </c>
      <c r="D15" s="3">
        <v>45992.777083333327</v>
      </c>
      <c r="E15" s="3">
        <v>45992.801388888889</v>
      </c>
      <c r="F15">
        <f t="shared" si="0"/>
        <v>35</v>
      </c>
      <c r="G15" t="s">
        <v>213</v>
      </c>
    </row>
    <row r="16" spans="1:7" x14ac:dyDescent="0.2">
      <c r="A16" t="s">
        <v>228</v>
      </c>
      <c r="B16" t="s">
        <v>26</v>
      </c>
      <c r="C16" s="2">
        <v>45983.658431821088</v>
      </c>
      <c r="D16" s="3">
        <v>45983.790972222218</v>
      </c>
      <c r="E16" s="3">
        <v>45983.822916666657</v>
      </c>
      <c r="F16">
        <f t="shared" si="0"/>
        <v>46</v>
      </c>
      <c r="G16" t="s">
        <v>224</v>
      </c>
    </row>
    <row r="17" spans="1:7" x14ac:dyDescent="0.2">
      <c r="A17" t="s">
        <v>229</v>
      </c>
      <c r="B17" t="s">
        <v>51</v>
      </c>
      <c r="C17" s="2">
        <v>45990.658431821583</v>
      </c>
      <c r="D17" s="3">
        <v>45990.463194444441</v>
      </c>
      <c r="E17" s="3">
        <v>45990.484722222223</v>
      </c>
      <c r="F17">
        <f t="shared" si="0"/>
        <v>31</v>
      </c>
      <c r="G17" t="s">
        <v>215</v>
      </c>
    </row>
    <row r="18" spans="1:7" x14ac:dyDescent="0.2">
      <c r="A18" t="s">
        <v>230</v>
      </c>
      <c r="B18" t="s">
        <v>46</v>
      </c>
      <c r="C18" s="2">
        <v>45981.658431821837</v>
      </c>
      <c r="D18" s="3">
        <v>45981.72152777778</v>
      </c>
      <c r="E18" s="3">
        <v>45981.757638888892</v>
      </c>
      <c r="F18">
        <f t="shared" si="0"/>
        <v>52</v>
      </c>
      <c r="G18" t="s">
        <v>215</v>
      </c>
    </row>
    <row r="19" spans="1:7" x14ac:dyDescent="0.2">
      <c r="A19" t="s">
        <v>231</v>
      </c>
      <c r="B19" t="s">
        <v>96</v>
      </c>
      <c r="C19" s="2">
        <v>45974.658431822107</v>
      </c>
      <c r="D19" s="3">
        <v>45974.52847222222</v>
      </c>
      <c r="E19" s="3">
        <v>45974.579861111109</v>
      </c>
      <c r="F19">
        <f t="shared" si="0"/>
        <v>74</v>
      </c>
      <c r="G19" t="s">
        <v>213</v>
      </c>
    </row>
    <row r="20" spans="1:7" x14ac:dyDescent="0.2">
      <c r="A20" t="s">
        <v>232</v>
      </c>
      <c r="B20" t="s">
        <v>15</v>
      </c>
      <c r="C20" s="2">
        <v>45987.658431822361</v>
      </c>
      <c r="D20" s="3">
        <v>45987.745833333327</v>
      </c>
      <c r="E20" s="3">
        <v>45987.815972222219</v>
      </c>
      <c r="F20">
        <f t="shared" si="0"/>
        <v>101</v>
      </c>
      <c r="G20" t="s">
        <v>215</v>
      </c>
    </row>
    <row r="21" spans="1:7" x14ac:dyDescent="0.2">
      <c r="A21" t="s">
        <v>233</v>
      </c>
      <c r="B21" t="s">
        <v>71</v>
      </c>
      <c r="C21" s="2">
        <v>45979.658431822783</v>
      </c>
      <c r="D21" s="3">
        <v>45979.460416666669</v>
      </c>
      <c r="E21" s="3">
        <v>45979.49722222222</v>
      </c>
      <c r="F21">
        <f t="shared" si="0"/>
        <v>53</v>
      </c>
      <c r="G21" t="s">
        <v>224</v>
      </c>
    </row>
    <row r="22" spans="1:7" x14ac:dyDescent="0.2">
      <c r="A22" t="s">
        <v>234</v>
      </c>
      <c r="B22" t="s">
        <v>81</v>
      </c>
      <c r="C22" s="2">
        <v>45986.658431823067</v>
      </c>
      <c r="D22" s="3">
        <v>45986.693749999999</v>
      </c>
      <c r="E22" s="3">
        <v>45986.761111111111</v>
      </c>
      <c r="F22">
        <f t="shared" si="0"/>
        <v>97</v>
      </c>
      <c r="G22" t="s">
        <v>218</v>
      </c>
    </row>
    <row r="23" spans="1:7" x14ac:dyDescent="0.2">
      <c r="A23" t="s">
        <v>235</v>
      </c>
      <c r="B23" t="s">
        <v>61</v>
      </c>
      <c r="C23" s="2">
        <v>45976.658431823344</v>
      </c>
      <c r="D23" s="3">
        <v>45976.518750000003</v>
      </c>
      <c r="E23" s="3">
        <v>45976.563194444447</v>
      </c>
      <c r="F23">
        <f t="shared" si="0"/>
        <v>64</v>
      </c>
      <c r="G23" t="s">
        <v>224</v>
      </c>
    </row>
    <row r="24" spans="1:7" x14ac:dyDescent="0.2">
      <c r="A24" t="s">
        <v>236</v>
      </c>
      <c r="B24" t="s">
        <v>26</v>
      </c>
      <c r="C24" s="2">
        <v>45998.658431823598</v>
      </c>
      <c r="D24" s="3">
        <v>45998.850694444453</v>
      </c>
      <c r="E24" s="3">
        <v>45998.915972222218</v>
      </c>
      <c r="F24">
        <f t="shared" si="0"/>
        <v>94</v>
      </c>
      <c r="G24" t="s">
        <v>224</v>
      </c>
    </row>
    <row r="25" spans="1:7" x14ac:dyDescent="0.2">
      <c r="A25" t="s">
        <v>237</v>
      </c>
      <c r="B25" t="s">
        <v>66</v>
      </c>
      <c r="C25" s="2">
        <v>45980.658431823853</v>
      </c>
      <c r="D25" s="3">
        <v>45980.603472222218</v>
      </c>
      <c r="E25" s="3">
        <v>45980.647222222222</v>
      </c>
      <c r="F25">
        <f t="shared" si="0"/>
        <v>63</v>
      </c>
      <c r="G25" t="s">
        <v>213</v>
      </c>
    </row>
    <row r="26" spans="1:7" x14ac:dyDescent="0.2">
      <c r="A26" t="s">
        <v>238</v>
      </c>
      <c r="B26" t="s">
        <v>71</v>
      </c>
      <c r="C26" s="2">
        <v>45995.658431824122</v>
      </c>
      <c r="D26" s="3">
        <v>45995.645833333343</v>
      </c>
      <c r="E26" s="3">
        <v>45995.679861111108</v>
      </c>
      <c r="F26">
        <f t="shared" si="0"/>
        <v>49</v>
      </c>
      <c r="G26" t="s">
        <v>218</v>
      </c>
    </row>
    <row r="27" spans="1:7" x14ac:dyDescent="0.2">
      <c r="A27" t="s">
        <v>239</v>
      </c>
      <c r="B27" t="s">
        <v>101</v>
      </c>
      <c r="C27" s="2">
        <v>45975.658431824413</v>
      </c>
      <c r="D27" s="3">
        <v>45975.511805555558</v>
      </c>
      <c r="E27" s="3">
        <v>45975.594444444447</v>
      </c>
      <c r="F27">
        <f t="shared" si="0"/>
        <v>119</v>
      </c>
      <c r="G27" t="s">
        <v>213</v>
      </c>
    </row>
    <row r="28" spans="1:7" x14ac:dyDescent="0.2">
      <c r="A28" t="s">
        <v>240</v>
      </c>
      <c r="B28" t="s">
        <v>81</v>
      </c>
      <c r="C28" s="2">
        <v>45972.658431824682</v>
      </c>
      <c r="D28" s="3">
        <v>45972.567361111112</v>
      </c>
      <c r="E28" s="3">
        <v>45972.625694444447</v>
      </c>
      <c r="F28">
        <f t="shared" si="0"/>
        <v>84</v>
      </c>
      <c r="G28" t="s">
        <v>215</v>
      </c>
    </row>
    <row r="29" spans="1:7" x14ac:dyDescent="0.2">
      <c r="A29" t="s">
        <v>241</v>
      </c>
      <c r="B29" t="s">
        <v>96</v>
      </c>
      <c r="C29" s="2">
        <v>45993.658431824952</v>
      </c>
      <c r="D29" s="3">
        <v>45993.872916666667</v>
      </c>
      <c r="E29" s="3">
        <v>45993.916666666657</v>
      </c>
      <c r="F29">
        <f t="shared" si="0"/>
        <v>63</v>
      </c>
      <c r="G29" t="s">
        <v>215</v>
      </c>
    </row>
    <row r="30" spans="1:7" x14ac:dyDescent="0.2">
      <c r="A30" t="s">
        <v>242</v>
      </c>
      <c r="B30" t="s">
        <v>15</v>
      </c>
      <c r="C30" s="2">
        <v>45973.658431825213</v>
      </c>
      <c r="D30" s="3">
        <v>45973.619444444441</v>
      </c>
      <c r="E30" s="3">
        <v>45973.686111111107</v>
      </c>
      <c r="F30">
        <f t="shared" si="0"/>
        <v>96</v>
      </c>
      <c r="G30" t="s">
        <v>215</v>
      </c>
    </row>
    <row r="31" spans="1:7" x14ac:dyDescent="0.2">
      <c r="A31" t="s">
        <v>243</v>
      </c>
      <c r="B31" t="s">
        <v>15</v>
      </c>
      <c r="C31" s="2">
        <v>45983.658431825483</v>
      </c>
      <c r="D31" s="3">
        <v>45983.431250000001</v>
      </c>
      <c r="E31" s="3">
        <v>45983.513194444437</v>
      </c>
      <c r="F31">
        <f t="shared" si="0"/>
        <v>118</v>
      </c>
      <c r="G31" t="s">
        <v>215</v>
      </c>
    </row>
    <row r="32" spans="1:7" x14ac:dyDescent="0.2">
      <c r="A32" t="s">
        <v>244</v>
      </c>
      <c r="B32" t="s">
        <v>20</v>
      </c>
      <c r="C32" s="2">
        <v>45972.65843182573</v>
      </c>
      <c r="D32" s="3">
        <v>45972.580555555563</v>
      </c>
      <c r="E32" s="3">
        <v>45972.630555555559</v>
      </c>
      <c r="F32">
        <f t="shared" si="0"/>
        <v>72</v>
      </c>
      <c r="G32" t="s">
        <v>218</v>
      </c>
    </row>
    <row r="33" spans="1:7" x14ac:dyDescent="0.2">
      <c r="A33" t="s">
        <v>245</v>
      </c>
      <c r="B33" t="s">
        <v>81</v>
      </c>
      <c r="C33" s="2">
        <v>45993.658431825992</v>
      </c>
      <c r="D33" s="3">
        <v>45993.381249999999</v>
      </c>
      <c r="E33" s="3">
        <v>45993.409722222219</v>
      </c>
      <c r="F33">
        <f t="shared" si="0"/>
        <v>41</v>
      </c>
      <c r="G33" t="s">
        <v>213</v>
      </c>
    </row>
    <row r="34" spans="1:7" x14ac:dyDescent="0.2">
      <c r="A34" t="s">
        <v>246</v>
      </c>
      <c r="B34" t="s">
        <v>66</v>
      </c>
      <c r="C34" s="2">
        <v>45982.658431826247</v>
      </c>
      <c r="D34" s="3">
        <v>45982.473611111112</v>
      </c>
      <c r="E34" s="3">
        <v>45982.540277777778</v>
      </c>
      <c r="F34">
        <f t="shared" si="0"/>
        <v>96</v>
      </c>
      <c r="G34" t="s">
        <v>218</v>
      </c>
    </row>
    <row r="35" spans="1:7" x14ac:dyDescent="0.2">
      <c r="A35" t="s">
        <v>247</v>
      </c>
      <c r="B35" t="s">
        <v>31</v>
      </c>
      <c r="C35" s="2">
        <v>45976.658431826523</v>
      </c>
      <c r="D35" s="3">
        <v>45976.688888888893</v>
      </c>
      <c r="E35" s="3">
        <v>45976.724305555559</v>
      </c>
      <c r="F35">
        <f t="shared" si="0"/>
        <v>51</v>
      </c>
      <c r="G35" t="s">
        <v>215</v>
      </c>
    </row>
    <row r="36" spans="1:7" x14ac:dyDescent="0.2">
      <c r="A36" t="s">
        <v>248</v>
      </c>
      <c r="B36" t="s">
        <v>36</v>
      </c>
      <c r="C36" s="2">
        <v>45974.658431826771</v>
      </c>
      <c r="D36" s="3">
        <v>45974.566666666673</v>
      </c>
      <c r="E36" s="3">
        <v>45974.595138888893</v>
      </c>
      <c r="F36">
        <f t="shared" ref="F36:F67" si="1">HOUR(E36-D36)*60 + MINUTE(E36-D36)</f>
        <v>41</v>
      </c>
      <c r="G36" t="s">
        <v>213</v>
      </c>
    </row>
    <row r="37" spans="1:7" x14ac:dyDescent="0.2">
      <c r="A37" t="s">
        <v>249</v>
      </c>
      <c r="B37" t="s">
        <v>81</v>
      </c>
      <c r="C37" s="2">
        <v>45981.658431827032</v>
      </c>
      <c r="D37" s="3">
        <v>45981.456250000003</v>
      </c>
      <c r="E37" s="3">
        <v>45981.492361111108</v>
      </c>
      <c r="F37">
        <f t="shared" si="1"/>
        <v>52</v>
      </c>
      <c r="G37" t="s">
        <v>213</v>
      </c>
    </row>
    <row r="38" spans="1:7" x14ac:dyDescent="0.2">
      <c r="A38" t="s">
        <v>250</v>
      </c>
      <c r="B38" t="s">
        <v>41</v>
      </c>
      <c r="C38" s="2">
        <v>45991.658431827302</v>
      </c>
      <c r="D38" s="3">
        <v>45991.368750000001</v>
      </c>
      <c r="E38" s="3">
        <v>45991.421527777777</v>
      </c>
      <c r="F38">
        <f t="shared" si="1"/>
        <v>76</v>
      </c>
      <c r="G38" t="s">
        <v>224</v>
      </c>
    </row>
    <row r="39" spans="1:7" x14ac:dyDescent="0.2">
      <c r="A39" t="s">
        <v>251</v>
      </c>
      <c r="B39" t="s">
        <v>96</v>
      </c>
      <c r="C39" s="2">
        <v>45992.658431827564</v>
      </c>
      <c r="D39" s="3">
        <v>45992.336805555547</v>
      </c>
      <c r="E39" s="3">
        <v>45992.4</v>
      </c>
      <c r="F39">
        <f t="shared" si="1"/>
        <v>91</v>
      </c>
      <c r="G39" t="s">
        <v>224</v>
      </c>
    </row>
    <row r="40" spans="1:7" x14ac:dyDescent="0.2">
      <c r="A40" t="s">
        <v>252</v>
      </c>
      <c r="B40" t="s">
        <v>86</v>
      </c>
      <c r="C40" s="2">
        <v>45993.658431827833</v>
      </c>
      <c r="D40" s="3">
        <v>45993.40347222222</v>
      </c>
      <c r="E40" s="3">
        <v>45993.445833333331</v>
      </c>
      <c r="F40">
        <f t="shared" si="1"/>
        <v>61</v>
      </c>
      <c r="G40" t="s">
        <v>213</v>
      </c>
    </row>
    <row r="41" spans="1:7" x14ac:dyDescent="0.2">
      <c r="A41" t="s">
        <v>253</v>
      </c>
      <c r="B41" t="s">
        <v>96</v>
      </c>
      <c r="C41" s="2">
        <v>45969.65843182808</v>
      </c>
      <c r="D41" s="3">
        <v>45969.815972222219</v>
      </c>
      <c r="E41" s="3">
        <v>45969.895833333343</v>
      </c>
      <c r="F41">
        <f t="shared" si="1"/>
        <v>115</v>
      </c>
      <c r="G41" t="s">
        <v>215</v>
      </c>
    </row>
    <row r="42" spans="1:7" x14ac:dyDescent="0.2">
      <c r="A42" t="s">
        <v>254</v>
      </c>
      <c r="B42" t="s">
        <v>101</v>
      </c>
      <c r="C42" s="2">
        <v>45977.658431828342</v>
      </c>
      <c r="D42" s="3">
        <v>45977.698611111111</v>
      </c>
      <c r="E42" s="3">
        <v>45977.740972222222</v>
      </c>
      <c r="F42">
        <f t="shared" si="1"/>
        <v>61</v>
      </c>
      <c r="G42" t="s">
        <v>218</v>
      </c>
    </row>
    <row r="43" spans="1:7" x14ac:dyDescent="0.2">
      <c r="A43" t="s">
        <v>255</v>
      </c>
      <c r="B43" t="s">
        <v>61</v>
      </c>
      <c r="C43" s="2">
        <v>45971.658431828597</v>
      </c>
      <c r="D43" s="3">
        <v>45971.790972222218</v>
      </c>
      <c r="E43" s="3">
        <v>45971.84652777778</v>
      </c>
      <c r="F43">
        <f t="shared" si="1"/>
        <v>80</v>
      </c>
      <c r="G43" t="s">
        <v>224</v>
      </c>
    </row>
    <row r="44" spans="1:7" x14ac:dyDescent="0.2">
      <c r="A44" t="s">
        <v>256</v>
      </c>
      <c r="B44" t="s">
        <v>91</v>
      </c>
      <c r="C44" s="2">
        <v>45998.658431828873</v>
      </c>
      <c r="D44" s="3">
        <v>45998.71597222222</v>
      </c>
      <c r="E44" s="3">
        <v>45998.772916666669</v>
      </c>
      <c r="F44">
        <f t="shared" si="1"/>
        <v>82</v>
      </c>
      <c r="G44" t="s">
        <v>224</v>
      </c>
    </row>
    <row r="45" spans="1:7" x14ac:dyDescent="0.2">
      <c r="A45" t="s">
        <v>257</v>
      </c>
      <c r="B45" t="s">
        <v>66</v>
      </c>
      <c r="C45" s="2">
        <v>45987.658431829121</v>
      </c>
      <c r="D45" s="3">
        <v>45987.804166666669</v>
      </c>
      <c r="E45" s="3">
        <v>45987.870833333327</v>
      </c>
      <c r="F45">
        <f t="shared" si="1"/>
        <v>96</v>
      </c>
      <c r="G45" t="s">
        <v>213</v>
      </c>
    </row>
    <row r="46" spans="1:7" x14ac:dyDescent="0.2">
      <c r="A46" t="s">
        <v>258</v>
      </c>
      <c r="B46" t="s">
        <v>71</v>
      </c>
      <c r="C46" s="2">
        <v>45989.658431829383</v>
      </c>
      <c r="D46" s="3">
        <v>45989.599305555559</v>
      </c>
      <c r="E46" s="3">
        <v>45989.660416666673</v>
      </c>
      <c r="F46">
        <f t="shared" si="1"/>
        <v>88</v>
      </c>
      <c r="G46" t="s">
        <v>215</v>
      </c>
    </row>
    <row r="47" spans="1:7" x14ac:dyDescent="0.2">
      <c r="A47" t="s">
        <v>259</v>
      </c>
      <c r="B47" t="s">
        <v>20</v>
      </c>
      <c r="C47" s="2">
        <v>45986.658431829637</v>
      </c>
      <c r="D47" s="3">
        <v>45986.75277777778</v>
      </c>
      <c r="E47" s="3">
        <v>45986.813888888893</v>
      </c>
      <c r="F47">
        <f t="shared" si="1"/>
        <v>88</v>
      </c>
      <c r="G47" t="s">
        <v>224</v>
      </c>
    </row>
    <row r="48" spans="1:7" x14ac:dyDescent="0.2">
      <c r="A48" t="s">
        <v>260</v>
      </c>
      <c r="B48" t="s">
        <v>31</v>
      </c>
      <c r="C48" s="2">
        <v>45975.658431829921</v>
      </c>
      <c r="D48" s="3">
        <v>45975.579861111109</v>
      </c>
      <c r="E48" s="3">
        <v>45975.650694444441</v>
      </c>
      <c r="F48">
        <f t="shared" si="1"/>
        <v>102</v>
      </c>
      <c r="G48" t="s">
        <v>213</v>
      </c>
    </row>
    <row r="49" spans="1:7" x14ac:dyDescent="0.2">
      <c r="A49" t="s">
        <v>261</v>
      </c>
      <c r="B49" t="s">
        <v>56</v>
      </c>
      <c r="C49" s="2">
        <v>45992.658431830183</v>
      </c>
      <c r="D49" s="3">
        <v>45992.713888888888</v>
      </c>
      <c r="E49" s="3">
        <v>45992.782638888893</v>
      </c>
      <c r="F49">
        <f t="shared" si="1"/>
        <v>99</v>
      </c>
      <c r="G49" t="s">
        <v>213</v>
      </c>
    </row>
    <row r="50" spans="1:7" x14ac:dyDescent="0.2">
      <c r="A50" t="s">
        <v>262</v>
      </c>
      <c r="B50" t="s">
        <v>61</v>
      </c>
      <c r="C50" s="2">
        <v>45982.658431830438</v>
      </c>
      <c r="D50" s="3">
        <v>45982.72152777778</v>
      </c>
      <c r="E50" s="3">
        <v>45982.760416666657</v>
      </c>
      <c r="F50">
        <f t="shared" si="1"/>
        <v>56</v>
      </c>
      <c r="G50" t="s">
        <v>218</v>
      </c>
    </row>
    <row r="51" spans="1:7" x14ac:dyDescent="0.2">
      <c r="A51" t="s">
        <v>263</v>
      </c>
      <c r="B51" t="s">
        <v>9</v>
      </c>
      <c r="C51" s="2">
        <v>45976.65843183075</v>
      </c>
      <c r="D51" s="3">
        <v>45976.750694444447</v>
      </c>
      <c r="E51" s="3">
        <v>45976.801388888889</v>
      </c>
      <c r="F51">
        <f t="shared" si="1"/>
        <v>73</v>
      </c>
      <c r="G51" t="s">
        <v>224</v>
      </c>
    </row>
    <row r="52" spans="1:7" x14ac:dyDescent="0.2">
      <c r="A52" t="s">
        <v>264</v>
      </c>
      <c r="B52" t="s">
        <v>20</v>
      </c>
      <c r="C52" s="2">
        <v>45985.658431831012</v>
      </c>
      <c r="D52" s="3">
        <v>45985.659722222219</v>
      </c>
      <c r="E52" s="3">
        <v>45985.6875</v>
      </c>
      <c r="F52">
        <f t="shared" si="1"/>
        <v>40</v>
      </c>
      <c r="G52" t="s">
        <v>213</v>
      </c>
    </row>
    <row r="53" spans="1:7" x14ac:dyDescent="0.2">
      <c r="A53" t="s">
        <v>265</v>
      </c>
      <c r="B53" t="s">
        <v>96</v>
      </c>
      <c r="C53" s="2">
        <v>45977.658431831267</v>
      </c>
      <c r="D53" s="3">
        <v>45977.393750000003</v>
      </c>
      <c r="E53" s="3">
        <v>45977.46597222222</v>
      </c>
      <c r="F53">
        <f t="shared" si="1"/>
        <v>104</v>
      </c>
      <c r="G53" t="s">
        <v>213</v>
      </c>
    </row>
    <row r="54" spans="1:7" x14ac:dyDescent="0.2">
      <c r="A54" t="s">
        <v>266</v>
      </c>
      <c r="B54" t="s">
        <v>61</v>
      </c>
      <c r="C54" s="2">
        <v>45973.658431831529</v>
      </c>
      <c r="D54" s="3">
        <v>45973.575694444437</v>
      </c>
      <c r="E54" s="3">
        <v>45973.602083333331</v>
      </c>
      <c r="F54">
        <f t="shared" si="1"/>
        <v>38</v>
      </c>
      <c r="G54" t="s">
        <v>215</v>
      </c>
    </row>
    <row r="55" spans="1:7" x14ac:dyDescent="0.2">
      <c r="A55" t="s">
        <v>267</v>
      </c>
      <c r="B55" t="s">
        <v>36</v>
      </c>
      <c r="C55" s="2">
        <v>45981.658431831776</v>
      </c>
      <c r="D55" s="3">
        <v>45981.797222222223</v>
      </c>
      <c r="E55" s="3">
        <v>45981.872916666667</v>
      </c>
      <c r="F55">
        <f t="shared" si="1"/>
        <v>109</v>
      </c>
      <c r="G55" t="s">
        <v>213</v>
      </c>
    </row>
    <row r="56" spans="1:7" x14ac:dyDescent="0.2">
      <c r="A56" t="s">
        <v>268</v>
      </c>
      <c r="B56" t="s">
        <v>20</v>
      </c>
      <c r="C56" s="2">
        <v>45970.658431832053</v>
      </c>
      <c r="D56" s="3">
        <v>45970.711805555547</v>
      </c>
      <c r="E56" s="3">
        <v>45970.742361111108</v>
      </c>
      <c r="F56">
        <f t="shared" si="1"/>
        <v>44</v>
      </c>
      <c r="G56" t="s">
        <v>213</v>
      </c>
    </row>
    <row r="57" spans="1:7" x14ac:dyDescent="0.2">
      <c r="A57" t="s">
        <v>269</v>
      </c>
      <c r="B57" t="s">
        <v>31</v>
      </c>
      <c r="C57" s="2">
        <v>45982.658431832337</v>
      </c>
      <c r="D57" s="3">
        <v>45982.658333333333</v>
      </c>
      <c r="E57" s="3">
        <v>45982.696527777778</v>
      </c>
      <c r="F57">
        <f t="shared" si="1"/>
        <v>55</v>
      </c>
      <c r="G57" t="s">
        <v>213</v>
      </c>
    </row>
    <row r="58" spans="1:7" x14ac:dyDescent="0.2">
      <c r="A58" t="s">
        <v>270</v>
      </c>
      <c r="B58" t="s">
        <v>46</v>
      </c>
      <c r="C58" s="2">
        <v>45998.658431832853</v>
      </c>
      <c r="D58" s="3">
        <v>45998.464583333327</v>
      </c>
      <c r="E58" s="3">
        <v>45998.510416666657</v>
      </c>
      <c r="F58">
        <f t="shared" si="1"/>
        <v>66</v>
      </c>
      <c r="G58" t="s">
        <v>218</v>
      </c>
    </row>
    <row r="59" spans="1:7" x14ac:dyDescent="0.2">
      <c r="A59" t="s">
        <v>271</v>
      </c>
      <c r="B59" t="s">
        <v>51</v>
      </c>
      <c r="C59" s="2">
        <v>45982.658431833122</v>
      </c>
      <c r="D59" s="3">
        <v>45982.849305555559</v>
      </c>
      <c r="E59" s="3">
        <v>45982.902083333327</v>
      </c>
      <c r="F59">
        <f t="shared" si="1"/>
        <v>76</v>
      </c>
      <c r="G59" t="s">
        <v>213</v>
      </c>
    </row>
    <row r="60" spans="1:7" x14ac:dyDescent="0.2">
      <c r="A60" t="s">
        <v>272</v>
      </c>
      <c r="B60" t="s">
        <v>56</v>
      </c>
      <c r="C60" s="2">
        <v>45973.65843183337</v>
      </c>
      <c r="D60" s="3">
        <v>45973.638194444437</v>
      </c>
      <c r="E60" s="3">
        <v>45973.717361111107</v>
      </c>
      <c r="F60">
        <f t="shared" si="1"/>
        <v>114</v>
      </c>
      <c r="G60" t="s">
        <v>213</v>
      </c>
    </row>
    <row r="61" spans="1:7" x14ac:dyDescent="0.2">
      <c r="A61" t="s">
        <v>273</v>
      </c>
      <c r="B61" t="s">
        <v>36</v>
      </c>
      <c r="C61" s="2">
        <v>45993.65843183361</v>
      </c>
      <c r="D61" s="3">
        <v>45993.505555555559</v>
      </c>
      <c r="E61" s="3">
        <v>45993.5625</v>
      </c>
      <c r="F61">
        <f t="shared" si="1"/>
        <v>82</v>
      </c>
      <c r="G61" t="s">
        <v>224</v>
      </c>
    </row>
    <row r="62" spans="1:7" x14ac:dyDescent="0.2">
      <c r="A62" t="s">
        <v>274</v>
      </c>
      <c r="B62" t="s">
        <v>101</v>
      </c>
      <c r="C62" s="2">
        <v>45995.658431833857</v>
      </c>
      <c r="D62" s="3">
        <v>45995.543749999997</v>
      </c>
      <c r="E62" s="3">
        <v>45995.595833333333</v>
      </c>
      <c r="F62">
        <f t="shared" si="1"/>
        <v>75</v>
      </c>
      <c r="G62" t="s">
        <v>224</v>
      </c>
    </row>
    <row r="63" spans="1:7" x14ac:dyDescent="0.2">
      <c r="A63" t="s">
        <v>275</v>
      </c>
      <c r="B63" t="s">
        <v>76</v>
      </c>
      <c r="C63" s="2">
        <v>45985.658431834127</v>
      </c>
      <c r="D63" s="3">
        <v>45985.732638888891</v>
      </c>
      <c r="E63" s="3">
        <v>45985.777083333327</v>
      </c>
      <c r="F63">
        <f t="shared" si="1"/>
        <v>64</v>
      </c>
      <c r="G63" t="s">
        <v>215</v>
      </c>
    </row>
    <row r="64" spans="1:7" x14ac:dyDescent="0.2">
      <c r="A64" t="s">
        <v>276</v>
      </c>
      <c r="B64" t="s">
        <v>61</v>
      </c>
      <c r="C64" s="2">
        <v>45974.658431834447</v>
      </c>
      <c r="D64" s="3">
        <v>45974.840277777781</v>
      </c>
      <c r="E64" s="3">
        <v>45974.861111111109</v>
      </c>
      <c r="F64">
        <f t="shared" si="1"/>
        <v>30</v>
      </c>
      <c r="G64" t="s">
        <v>215</v>
      </c>
    </row>
    <row r="65" spans="1:7" x14ac:dyDescent="0.2">
      <c r="A65" t="s">
        <v>277</v>
      </c>
      <c r="B65" t="s">
        <v>71</v>
      </c>
      <c r="C65" s="2">
        <v>45973.658431834701</v>
      </c>
      <c r="D65" s="3">
        <v>45973.844444444447</v>
      </c>
      <c r="E65" s="3">
        <v>45973.897916666669</v>
      </c>
      <c r="F65">
        <f t="shared" si="1"/>
        <v>77</v>
      </c>
      <c r="G65" t="s">
        <v>213</v>
      </c>
    </row>
    <row r="66" spans="1:7" x14ac:dyDescent="0.2">
      <c r="A66" t="s">
        <v>278</v>
      </c>
      <c r="B66" t="s">
        <v>15</v>
      </c>
      <c r="C66" s="2">
        <v>45988.658431834941</v>
      </c>
      <c r="D66" s="3">
        <v>45988.829861111109</v>
      </c>
      <c r="E66" s="3">
        <v>45988.852777777778</v>
      </c>
      <c r="F66">
        <f t="shared" si="1"/>
        <v>33</v>
      </c>
      <c r="G66" t="s">
        <v>213</v>
      </c>
    </row>
    <row r="67" spans="1:7" x14ac:dyDescent="0.2">
      <c r="A67" t="s">
        <v>279</v>
      </c>
      <c r="B67" t="s">
        <v>81</v>
      </c>
      <c r="C67" s="2">
        <v>45978.658431835203</v>
      </c>
      <c r="D67" s="3">
        <v>45978.536805555559</v>
      </c>
      <c r="E67" s="3">
        <v>45978.615277777782</v>
      </c>
      <c r="F67">
        <f t="shared" si="1"/>
        <v>113</v>
      </c>
      <c r="G67" t="s">
        <v>213</v>
      </c>
    </row>
    <row r="68" spans="1:7" x14ac:dyDescent="0.2">
      <c r="A68" t="s">
        <v>280</v>
      </c>
      <c r="B68" t="s">
        <v>56</v>
      </c>
      <c r="C68" s="2">
        <v>45977.658431835451</v>
      </c>
      <c r="D68" s="3">
        <v>45977.45416666667</v>
      </c>
      <c r="E68" s="3">
        <v>45977.534722222219</v>
      </c>
      <c r="F68">
        <f t="shared" ref="F68:F99" si="2">HOUR(E68-D68)*60 + MINUTE(E68-D68)</f>
        <v>116</v>
      </c>
      <c r="G68" t="s">
        <v>215</v>
      </c>
    </row>
    <row r="69" spans="1:7" x14ac:dyDescent="0.2">
      <c r="A69" t="s">
        <v>281</v>
      </c>
      <c r="B69" t="s">
        <v>36</v>
      </c>
      <c r="C69" s="2">
        <v>45985.658431835713</v>
      </c>
      <c r="D69" s="3">
        <v>45985.736805555563</v>
      </c>
      <c r="E69" s="3">
        <v>45985.761111111111</v>
      </c>
      <c r="F69">
        <f t="shared" si="2"/>
        <v>35</v>
      </c>
      <c r="G69" t="s">
        <v>213</v>
      </c>
    </row>
    <row r="70" spans="1:7" x14ac:dyDescent="0.2">
      <c r="A70" t="s">
        <v>282</v>
      </c>
      <c r="B70" t="s">
        <v>20</v>
      </c>
      <c r="C70" s="2">
        <v>45991.65843183596</v>
      </c>
      <c r="D70" s="3">
        <v>45991.691666666673</v>
      </c>
      <c r="E70" s="3">
        <v>45991.731944444437</v>
      </c>
      <c r="F70">
        <f t="shared" si="2"/>
        <v>58</v>
      </c>
      <c r="G70" t="s">
        <v>218</v>
      </c>
    </row>
    <row r="71" spans="1:7" x14ac:dyDescent="0.2">
      <c r="A71" t="s">
        <v>283</v>
      </c>
      <c r="B71" t="s">
        <v>106</v>
      </c>
      <c r="C71" s="2">
        <v>45978.658431836251</v>
      </c>
      <c r="D71" s="3">
        <v>45978.729166666657</v>
      </c>
      <c r="E71" s="3">
        <v>45978.774305555547</v>
      </c>
      <c r="F71">
        <f t="shared" si="2"/>
        <v>65</v>
      </c>
      <c r="G71" t="s">
        <v>218</v>
      </c>
    </row>
    <row r="72" spans="1:7" x14ac:dyDescent="0.2">
      <c r="A72" t="s">
        <v>284</v>
      </c>
      <c r="B72" t="s">
        <v>96</v>
      </c>
      <c r="C72" s="2">
        <v>45973.658431836513</v>
      </c>
      <c r="D72" s="3">
        <v>45973.76666666667</v>
      </c>
      <c r="E72" s="3">
        <v>45973.818055555559</v>
      </c>
      <c r="F72">
        <f t="shared" si="2"/>
        <v>74</v>
      </c>
      <c r="G72" t="s">
        <v>218</v>
      </c>
    </row>
    <row r="73" spans="1:7" x14ac:dyDescent="0.2">
      <c r="A73" t="s">
        <v>285</v>
      </c>
      <c r="B73" t="s">
        <v>26</v>
      </c>
      <c r="C73" s="2">
        <v>45995.65843183676</v>
      </c>
      <c r="D73" s="3">
        <v>45995.338194444441</v>
      </c>
      <c r="E73" s="3">
        <v>45995.366666666669</v>
      </c>
      <c r="F73">
        <f t="shared" si="2"/>
        <v>41</v>
      </c>
      <c r="G73" t="s">
        <v>215</v>
      </c>
    </row>
    <row r="74" spans="1:7" x14ac:dyDescent="0.2">
      <c r="A74" t="s">
        <v>286</v>
      </c>
      <c r="B74" t="s">
        <v>36</v>
      </c>
      <c r="C74" s="2">
        <v>45981.658431837022</v>
      </c>
      <c r="D74" s="3">
        <v>45981.702777777777</v>
      </c>
      <c r="E74" s="3">
        <v>45981.75</v>
      </c>
      <c r="F74">
        <f t="shared" si="2"/>
        <v>68</v>
      </c>
      <c r="G74" t="s">
        <v>213</v>
      </c>
    </row>
    <row r="75" spans="1:7" x14ac:dyDescent="0.2">
      <c r="A75" t="s">
        <v>287</v>
      </c>
      <c r="B75" t="s">
        <v>86</v>
      </c>
      <c r="C75" s="2">
        <v>45996.65843183727</v>
      </c>
      <c r="D75" s="3">
        <v>45996.82916666667</v>
      </c>
      <c r="E75" s="3">
        <v>45996.881249999999</v>
      </c>
      <c r="F75">
        <f t="shared" si="2"/>
        <v>75</v>
      </c>
      <c r="G75" t="s">
        <v>224</v>
      </c>
    </row>
    <row r="76" spans="1:7" x14ac:dyDescent="0.2">
      <c r="A76" t="s">
        <v>288</v>
      </c>
      <c r="B76" t="s">
        <v>51</v>
      </c>
      <c r="C76" s="2">
        <v>45988.65843183751</v>
      </c>
      <c r="D76" s="3">
        <v>45988.513194444437</v>
      </c>
      <c r="E76" s="3">
        <v>45988.538888888892</v>
      </c>
      <c r="F76">
        <f t="shared" si="2"/>
        <v>37</v>
      </c>
      <c r="G76" t="s">
        <v>213</v>
      </c>
    </row>
    <row r="77" spans="1:7" x14ac:dyDescent="0.2">
      <c r="A77" t="s">
        <v>289</v>
      </c>
      <c r="B77" t="s">
        <v>81</v>
      </c>
      <c r="C77" s="2">
        <v>45996.658431837757</v>
      </c>
      <c r="D77" s="3">
        <v>45996.767361111109</v>
      </c>
      <c r="E77" s="3">
        <v>45996.847916666673</v>
      </c>
      <c r="F77">
        <f t="shared" si="2"/>
        <v>116</v>
      </c>
      <c r="G77" t="s">
        <v>213</v>
      </c>
    </row>
    <row r="78" spans="1:7" x14ac:dyDescent="0.2">
      <c r="A78" t="s">
        <v>290</v>
      </c>
      <c r="B78" t="s">
        <v>66</v>
      </c>
      <c r="C78" s="2">
        <v>45973.658431838026</v>
      </c>
      <c r="D78" s="3">
        <v>45973.689583333333</v>
      </c>
      <c r="E78" s="3">
        <v>45973.729166666657</v>
      </c>
      <c r="F78">
        <f t="shared" si="2"/>
        <v>57</v>
      </c>
      <c r="G78" t="s">
        <v>213</v>
      </c>
    </row>
    <row r="79" spans="1:7" x14ac:dyDescent="0.2">
      <c r="A79" t="s">
        <v>291</v>
      </c>
      <c r="B79" t="s">
        <v>81</v>
      </c>
      <c r="C79" s="2">
        <v>45974.658431838288</v>
      </c>
      <c r="D79" s="3">
        <v>45974.775694444441</v>
      </c>
      <c r="E79" s="3">
        <v>45974.839583333327</v>
      </c>
      <c r="F79">
        <f t="shared" si="2"/>
        <v>92</v>
      </c>
      <c r="G79" t="s">
        <v>218</v>
      </c>
    </row>
    <row r="80" spans="1:7" x14ac:dyDescent="0.2">
      <c r="A80" t="s">
        <v>292</v>
      </c>
      <c r="B80" t="s">
        <v>51</v>
      </c>
      <c r="C80" s="2">
        <v>45982.658431838543</v>
      </c>
      <c r="D80" s="3">
        <v>45982.763888888891</v>
      </c>
      <c r="E80" s="3">
        <v>45982.833333333343</v>
      </c>
      <c r="F80">
        <f t="shared" si="2"/>
        <v>100</v>
      </c>
      <c r="G80" t="s">
        <v>218</v>
      </c>
    </row>
    <row r="81" spans="1:7" x14ac:dyDescent="0.2">
      <c r="A81" t="s">
        <v>293</v>
      </c>
      <c r="B81" t="s">
        <v>51</v>
      </c>
      <c r="C81" s="2">
        <v>45991.65843183882</v>
      </c>
      <c r="D81" s="3">
        <v>45991.849305555559</v>
      </c>
      <c r="E81" s="3">
        <v>45991.914583333331</v>
      </c>
      <c r="F81">
        <f t="shared" si="2"/>
        <v>94</v>
      </c>
      <c r="G81" t="s">
        <v>224</v>
      </c>
    </row>
    <row r="82" spans="1:7" x14ac:dyDescent="0.2">
      <c r="A82" t="s">
        <v>294</v>
      </c>
      <c r="B82" t="s">
        <v>9</v>
      </c>
      <c r="C82" s="2">
        <v>45971.658431839067</v>
      </c>
      <c r="D82" s="3">
        <v>45971.836111111108</v>
      </c>
      <c r="E82" s="3">
        <v>45971.875694444447</v>
      </c>
      <c r="F82">
        <f t="shared" si="2"/>
        <v>57</v>
      </c>
      <c r="G82" t="s">
        <v>213</v>
      </c>
    </row>
    <row r="83" spans="1:7" x14ac:dyDescent="0.2">
      <c r="A83" t="s">
        <v>295</v>
      </c>
      <c r="B83" t="s">
        <v>61</v>
      </c>
      <c r="C83" s="2">
        <v>45995.658431839329</v>
      </c>
      <c r="D83" s="3">
        <v>45995.795138888891</v>
      </c>
      <c r="E83" s="3">
        <v>45995.865972222222</v>
      </c>
      <c r="F83">
        <f t="shared" si="2"/>
        <v>102</v>
      </c>
      <c r="G83" t="s">
        <v>224</v>
      </c>
    </row>
    <row r="84" spans="1:7" x14ac:dyDescent="0.2">
      <c r="A84" t="s">
        <v>296</v>
      </c>
      <c r="B84" t="s">
        <v>71</v>
      </c>
      <c r="C84" s="2">
        <v>45997.658431839583</v>
      </c>
      <c r="D84" s="3">
        <v>45997.624305555553</v>
      </c>
      <c r="E84" s="3">
        <v>45997.661111111112</v>
      </c>
      <c r="F84">
        <f t="shared" si="2"/>
        <v>53</v>
      </c>
      <c r="G84" t="s">
        <v>218</v>
      </c>
    </row>
    <row r="85" spans="1:7" x14ac:dyDescent="0.2">
      <c r="A85" t="s">
        <v>297</v>
      </c>
      <c r="B85" t="s">
        <v>96</v>
      </c>
      <c r="C85" s="2">
        <v>45974.658431839838</v>
      </c>
      <c r="D85" s="3">
        <v>45974.859722222223</v>
      </c>
      <c r="E85" s="3">
        <v>45974.899305555547</v>
      </c>
      <c r="F85">
        <f t="shared" si="2"/>
        <v>57</v>
      </c>
      <c r="G85" t="s">
        <v>215</v>
      </c>
    </row>
    <row r="86" spans="1:7" x14ac:dyDescent="0.2">
      <c r="A86" t="s">
        <v>298</v>
      </c>
      <c r="B86" t="s">
        <v>101</v>
      </c>
      <c r="C86" s="2">
        <v>45991.658431840093</v>
      </c>
      <c r="D86" s="3">
        <v>45991.693749999999</v>
      </c>
      <c r="E86" s="3">
        <v>45991.761805555558</v>
      </c>
      <c r="F86">
        <f t="shared" si="2"/>
        <v>98</v>
      </c>
      <c r="G86" t="s">
        <v>224</v>
      </c>
    </row>
    <row r="87" spans="1:7" x14ac:dyDescent="0.2">
      <c r="A87" t="s">
        <v>299</v>
      </c>
      <c r="B87" t="s">
        <v>76</v>
      </c>
      <c r="C87" s="2">
        <v>45987.658431840347</v>
      </c>
      <c r="D87" s="3">
        <v>45987.534722222219</v>
      </c>
      <c r="E87" s="3">
        <v>45987.57708333333</v>
      </c>
      <c r="F87">
        <f t="shared" si="2"/>
        <v>61</v>
      </c>
      <c r="G87" t="s">
        <v>224</v>
      </c>
    </row>
    <row r="88" spans="1:7" x14ac:dyDescent="0.2">
      <c r="A88" t="s">
        <v>300</v>
      </c>
      <c r="B88" t="s">
        <v>76</v>
      </c>
      <c r="C88" s="2">
        <v>45993.65843184074</v>
      </c>
      <c r="D88" s="3">
        <v>45993.606249999997</v>
      </c>
      <c r="E88" s="3">
        <v>45993.646527777782</v>
      </c>
      <c r="F88">
        <f t="shared" si="2"/>
        <v>58</v>
      </c>
      <c r="G88" t="s">
        <v>218</v>
      </c>
    </row>
    <row r="89" spans="1:7" x14ac:dyDescent="0.2">
      <c r="A89" t="s">
        <v>301</v>
      </c>
      <c r="B89" t="s">
        <v>15</v>
      </c>
      <c r="C89" s="2">
        <v>45982.658431841002</v>
      </c>
      <c r="D89" s="3">
        <v>45982.456250000003</v>
      </c>
      <c r="E89" s="3">
        <v>45982.504861111112</v>
      </c>
      <c r="F89">
        <f t="shared" si="2"/>
        <v>70</v>
      </c>
      <c r="G89" t="s">
        <v>213</v>
      </c>
    </row>
    <row r="90" spans="1:7" x14ac:dyDescent="0.2">
      <c r="A90" t="s">
        <v>302</v>
      </c>
      <c r="B90" t="s">
        <v>86</v>
      </c>
      <c r="C90" s="2">
        <v>45970.658431841272</v>
      </c>
      <c r="D90" s="3">
        <v>45970.677083333343</v>
      </c>
      <c r="E90" s="3">
        <v>45970.726388888892</v>
      </c>
      <c r="F90">
        <f t="shared" si="2"/>
        <v>71</v>
      </c>
      <c r="G90" t="s">
        <v>213</v>
      </c>
    </row>
    <row r="91" spans="1:7" x14ac:dyDescent="0.2">
      <c r="A91" t="s">
        <v>303</v>
      </c>
      <c r="B91" t="s">
        <v>41</v>
      </c>
      <c r="C91" s="2">
        <v>45997.658431841533</v>
      </c>
      <c r="D91" s="3">
        <v>45997.56527777778</v>
      </c>
      <c r="E91" s="3">
        <v>45997.631249999999</v>
      </c>
      <c r="F91">
        <f t="shared" si="2"/>
        <v>95</v>
      </c>
      <c r="G91" t="s">
        <v>218</v>
      </c>
    </row>
    <row r="92" spans="1:7" x14ac:dyDescent="0.2">
      <c r="A92" t="s">
        <v>304</v>
      </c>
      <c r="B92" t="s">
        <v>86</v>
      </c>
      <c r="C92" s="2">
        <v>45976.658431841781</v>
      </c>
      <c r="D92" s="3">
        <v>45976.873611111107</v>
      </c>
      <c r="E92" s="3">
        <v>45976.941666666673</v>
      </c>
      <c r="F92">
        <f t="shared" si="2"/>
        <v>98</v>
      </c>
      <c r="G92" t="s">
        <v>215</v>
      </c>
    </row>
    <row r="93" spans="1:7" x14ac:dyDescent="0.2">
      <c r="A93" t="s">
        <v>305</v>
      </c>
      <c r="B93" t="s">
        <v>51</v>
      </c>
      <c r="C93" s="2">
        <v>45979.658431842043</v>
      </c>
      <c r="D93" s="3">
        <v>45979.376388888893</v>
      </c>
      <c r="E93" s="3">
        <v>45979.45</v>
      </c>
      <c r="F93">
        <f t="shared" si="2"/>
        <v>106</v>
      </c>
      <c r="G93" t="s">
        <v>213</v>
      </c>
    </row>
    <row r="94" spans="1:7" x14ac:dyDescent="0.2">
      <c r="A94" t="s">
        <v>306</v>
      </c>
      <c r="B94" t="s">
        <v>51</v>
      </c>
      <c r="C94" s="2">
        <v>45985.658431842327</v>
      </c>
      <c r="D94" s="3">
        <v>45985.820138888892</v>
      </c>
      <c r="E94" s="3">
        <v>45985.901388888888</v>
      </c>
      <c r="F94">
        <f t="shared" si="2"/>
        <v>117</v>
      </c>
      <c r="G94" t="s">
        <v>215</v>
      </c>
    </row>
    <row r="95" spans="1:7" x14ac:dyDescent="0.2">
      <c r="A95" t="s">
        <v>307</v>
      </c>
      <c r="B95" t="s">
        <v>91</v>
      </c>
      <c r="C95" s="2">
        <v>45980.658431842581</v>
      </c>
      <c r="D95" s="3">
        <v>45980.359722222223</v>
      </c>
      <c r="E95" s="3">
        <v>45980.42083333333</v>
      </c>
      <c r="F95">
        <f t="shared" si="2"/>
        <v>88</v>
      </c>
      <c r="G95" t="s">
        <v>218</v>
      </c>
    </row>
    <row r="96" spans="1:7" x14ac:dyDescent="0.2">
      <c r="A96" t="s">
        <v>308</v>
      </c>
      <c r="B96" t="s">
        <v>91</v>
      </c>
      <c r="C96" s="2">
        <v>45997.658431842843</v>
      </c>
      <c r="D96" s="3">
        <v>45997.505555555559</v>
      </c>
      <c r="E96" s="3">
        <v>45997.581250000003</v>
      </c>
      <c r="F96">
        <f t="shared" si="2"/>
        <v>109</v>
      </c>
      <c r="G96" t="s">
        <v>213</v>
      </c>
    </row>
    <row r="97" spans="1:7" x14ac:dyDescent="0.2">
      <c r="A97" t="s">
        <v>309</v>
      </c>
      <c r="B97" t="s">
        <v>36</v>
      </c>
      <c r="C97" s="2">
        <v>45972.658431843091</v>
      </c>
      <c r="D97" s="3">
        <v>45972.798611111109</v>
      </c>
      <c r="E97" s="3">
        <v>45972.82708333333</v>
      </c>
      <c r="F97">
        <f t="shared" si="2"/>
        <v>41</v>
      </c>
      <c r="G97" t="s">
        <v>224</v>
      </c>
    </row>
    <row r="98" spans="1:7" x14ac:dyDescent="0.2">
      <c r="A98" t="s">
        <v>310</v>
      </c>
      <c r="B98" t="s">
        <v>91</v>
      </c>
      <c r="C98" s="2">
        <v>45994.65843184336</v>
      </c>
      <c r="D98" s="3">
        <v>45994.340277777781</v>
      </c>
      <c r="E98" s="3">
        <v>45994.385416666657</v>
      </c>
      <c r="F98">
        <f t="shared" si="2"/>
        <v>65</v>
      </c>
      <c r="G98" t="s">
        <v>213</v>
      </c>
    </row>
    <row r="99" spans="1:7" x14ac:dyDescent="0.2">
      <c r="A99" t="s">
        <v>311</v>
      </c>
      <c r="B99" t="s">
        <v>96</v>
      </c>
      <c r="C99" s="2">
        <v>45975.658431843913</v>
      </c>
      <c r="D99" s="3">
        <v>45975.424305555563</v>
      </c>
      <c r="E99" s="3">
        <v>45975.494444444441</v>
      </c>
      <c r="F99">
        <f t="shared" si="2"/>
        <v>101</v>
      </c>
      <c r="G99" t="s">
        <v>213</v>
      </c>
    </row>
    <row r="100" spans="1:7" x14ac:dyDescent="0.2">
      <c r="A100" t="s">
        <v>312</v>
      </c>
      <c r="B100" t="s">
        <v>56</v>
      </c>
      <c r="C100" s="2">
        <v>45976.658431844233</v>
      </c>
      <c r="D100" s="3">
        <v>45976.343055555553</v>
      </c>
      <c r="E100" s="3">
        <v>45976.386111111111</v>
      </c>
      <c r="F100">
        <f t="shared" ref="F100:F131" si="3">HOUR(E100-D100)*60 + MINUTE(E100-D100)</f>
        <v>62</v>
      </c>
      <c r="G100" t="s">
        <v>215</v>
      </c>
    </row>
    <row r="101" spans="1:7" x14ac:dyDescent="0.2">
      <c r="A101" t="s">
        <v>313</v>
      </c>
      <c r="B101" t="s">
        <v>15</v>
      </c>
      <c r="C101" s="2">
        <v>45994.658431844487</v>
      </c>
      <c r="D101" s="3">
        <v>45994.65625</v>
      </c>
      <c r="E101" s="3">
        <v>45994.724305555559</v>
      </c>
      <c r="F101">
        <f t="shared" si="3"/>
        <v>98</v>
      </c>
      <c r="G101" t="s">
        <v>215</v>
      </c>
    </row>
    <row r="102" spans="1:7" x14ac:dyDescent="0.2">
      <c r="A102" t="s">
        <v>314</v>
      </c>
      <c r="B102" t="s">
        <v>81</v>
      </c>
      <c r="C102" s="2">
        <v>45978.658431844742</v>
      </c>
      <c r="D102" s="3">
        <v>45978.722916666673</v>
      </c>
      <c r="E102" s="3">
        <v>45978.77847222222</v>
      </c>
      <c r="F102">
        <f t="shared" si="3"/>
        <v>80</v>
      </c>
      <c r="G102" t="s">
        <v>215</v>
      </c>
    </row>
    <row r="103" spans="1:7" x14ac:dyDescent="0.2">
      <c r="A103" t="s">
        <v>315</v>
      </c>
      <c r="B103" t="s">
        <v>71</v>
      </c>
      <c r="C103" s="2">
        <v>45991.658431844997</v>
      </c>
      <c r="D103" s="3">
        <v>45991.772916666669</v>
      </c>
      <c r="E103" s="3">
        <v>45991.813888888893</v>
      </c>
      <c r="F103">
        <f t="shared" si="3"/>
        <v>59</v>
      </c>
      <c r="G103" t="s">
        <v>224</v>
      </c>
    </row>
  </sheetData>
  <sheetProtection sheet="1" formatCells="0"/>
  <mergeCells count="1">
    <mergeCell ref="A1:G1"/>
  </mergeCells>
  <dataValidations count="1">
    <dataValidation type="list" showDropDown="1" sqref="G4:G103" xr:uid="{00000000-0002-0000-0300-000000000000}">
      <formula1>"Musculation,Cours collectif,Cardio,Étirement"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zoomScale="130" zoomScaleNormal="130" workbookViewId="0">
      <selection sqref="A1:XFD1048576"/>
    </sheetView>
  </sheetViews>
  <sheetFormatPr baseColWidth="10" defaultColWidth="8.83203125" defaultRowHeight="15" x14ac:dyDescent="0.2"/>
  <cols>
    <col min="1" max="8" width="15" style="7" customWidth="1"/>
    <col min="9" max="16384" width="8.83203125" style="7"/>
  </cols>
  <sheetData>
    <row r="1" spans="1:8" x14ac:dyDescent="0.2">
      <c r="A1" s="15" t="s">
        <v>316</v>
      </c>
      <c r="B1" s="6"/>
      <c r="C1" s="6"/>
      <c r="D1" s="6"/>
      <c r="E1" s="6"/>
      <c r="F1" s="6"/>
      <c r="G1" s="6"/>
      <c r="H1" s="6"/>
    </row>
    <row r="2" spans="1:8" x14ac:dyDescent="0.2">
      <c r="A2" s="16" t="s">
        <v>317</v>
      </c>
      <c r="B2" s="6"/>
      <c r="C2" s="6"/>
      <c r="D2" s="6"/>
      <c r="E2" s="6"/>
      <c r="F2" s="6"/>
      <c r="G2" s="6"/>
      <c r="H2" s="6"/>
    </row>
    <row r="3" spans="1:8" x14ac:dyDescent="0.2">
      <c r="A3" s="4"/>
      <c r="B3" s="4"/>
      <c r="C3" s="4"/>
      <c r="D3" s="4"/>
      <c r="E3" s="4"/>
      <c r="F3" s="4"/>
      <c r="G3" s="4"/>
      <c r="H3" s="4"/>
    </row>
    <row r="4" spans="1:8" x14ac:dyDescent="0.2">
      <c r="A4" s="4"/>
      <c r="B4" s="17"/>
      <c r="C4" s="17"/>
      <c r="D4" s="17"/>
      <c r="E4" s="17"/>
      <c r="F4" s="17"/>
      <c r="G4" s="17"/>
      <c r="H4" s="17"/>
    </row>
    <row r="5" spans="1:8" x14ac:dyDescent="0.2">
      <c r="A5" s="4" t="s">
        <v>318</v>
      </c>
      <c r="B5" s="18">
        <f>COUNTIF(Membres!H:H,"Oui")</f>
        <v>8</v>
      </c>
      <c r="C5" s="17"/>
      <c r="D5" s="17"/>
      <c r="E5" s="17"/>
      <c r="F5" s="17"/>
      <c r="G5" s="17"/>
      <c r="H5" s="17"/>
    </row>
    <row r="6" spans="1:8" x14ac:dyDescent="0.2">
      <c r="A6" s="4" t="s">
        <v>319</v>
      </c>
      <c r="B6" s="18">
        <f>COUNTIF(Abonnements!G:G,"Actif")</f>
        <v>3</v>
      </c>
      <c r="C6" s="17"/>
      <c r="D6" s="17"/>
      <c r="E6" s="17"/>
      <c r="F6" s="17"/>
      <c r="G6" s="17"/>
      <c r="H6" s="17"/>
    </row>
    <row r="7" spans="1:8" x14ac:dyDescent="0.2">
      <c r="A7" s="4" t="s">
        <v>320</v>
      </c>
      <c r="B7" s="18">
        <f ca="1">SUMIFS(Paiements!D:D,Paiements!C:C,"&gt;="&amp;EOMONTH(TODAY(),-1)+1,Paiements!C:C,"&lt;="&amp;EOMONTH(TODAY(),0))</f>
        <v>0</v>
      </c>
      <c r="C7" s="17"/>
      <c r="D7" s="17"/>
      <c r="E7" s="17"/>
      <c r="F7" s="17"/>
      <c r="G7" s="17"/>
      <c r="H7" s="17"/>
    </row>
    <row r="8" spans="1:8" x14ac:dyDescent="0.2">
      <c r="A8" s="4" t="s">
        <v>321</v>
      </c>
      <c r="B8" s="19">
        <f>COUNT(Présences!A:A)/MAX(1,COUNT(Membres!A:A))/30</f>
        <v>0</v>
      </c>
      <c r="C8" s="17"/>
      <c r="D8" s="17"/>
      <c r="E8" s="17"/>
      <c r="F8" s="17"/>
      <c r="G8" s="17"/>
      <c r="H8" s="17"/>
    </row>
    <row r="9" spans="1:8" x14ac:dyDescent="0.2">
      <c r="A9" s="4"/>
      <c r="B9" s="17"/>
      <c r="C9" s="17"/>
      <c r="D9" s="17"/>
      <c r="E9" s="17"/>
      <c r="F9" s="17"/>
      <c r="G9" s="17"/>
      <c r="H9" s="17"/>
    </row>
    <row r="10" spans="1:8" x14ac:dyDescent="0.2">
      <c r="A10" s="4" t="s">
        <v>322</v>
      </c>
      <c r="B10" s="17"/>
      <c r="C10" s="17"/>
      <c r="D10" s="17"/>
      <c r="E10" s="17"/>
      <c r="F10" s="17"/>
      <c r="G10" s="17"/>
      <c r="H10" s="17"/>
    </row>
    <row r="11" spans="1:8" x14ac:dyDescent="0.2">
      <c r="A11" s="4"/>
      <c r="B11" s="17"/>
      <c r="C11" s="17"/>
      <c r="D11" s="17"/>
      <c r="E11" s="17"/>
      <c r="F11" s="17"/>
      <c r="G11" s="17"/>
      <c r="H11" s="17"/>
    </row>
    <row r="12" spans="1:8" x14ac:dyDescent="0.2">
      <c r="A12" s="4" t="s">
        <v>323</v>
      </c>
      <c r="B12" s="17" t="s">
        <v>324</v>
      </c>
      <c r="C12" s="17"/>
      <c r="D12" s="17"/>
      <c r="E12" s="17"/>
      <c r="F12" s="17"/>
      <c r="G12" s="17"/>
      <c r="H12" s="17"/>
    </row>
    <row r="13" spans="1:8" x14ac:dyDescent="0.2">
      <c r="A13" s="4" t="s">
        <v>121</v>
      </c>
      <c r="B13" s="17">
        <f>COUNTIF(Abonnements!C:C,"Mensuel")</f>
        <v>7</v>
      </c>
      <c r="C13" s="17"/>
      <c r="D13" s="17"/>
      <c r="E13" s="17"/>
      <c r="F13" s="17"/>
      <c r="G13" s="17"/>
      <c r="H13" s="17"/>
    </row>
    <row r="14" spans="1:8" x14ac:dyDescent="0.2">
      <c r="A14" s="4" t="s">
        <v>130</v>
      </c>
      <c r="B14" s="17">
        <f>COUNTIF(Abonnements!C:C,"Trimestriel")</f>
        <v>5</v>
      </c>
      <c r="C14" s="17"/>
      <c r="D14" s="17"/>
      <c r="E14" s="17"/>
      <c r="F14" s="17"/>
      <c r="G14" s="17"/>
      <c r="H14" s="17"/>
    </row>
    <row r="15" spans="1:8" x14ac:dyDescent="0.2">
      <c r="A15" s="4" t="s">
        <v>125</v>
      </c>
      <c r="B15" s="17">
        <f>COUNTIF(Abonnements!C:C,"Annuel")</f>
        <v>8</v>
      </c>
      <c r="C15" s="17"/>
      <c r="D15" s="17"/>
      <c r="E15" s="17"/>
      <c r="F15" s="17"/>
      <c r="G15" s="17"/>
      <c r="H15" s="17"/>
    </row>
    <row r="16" spans="1:8" x14ac:dyDescent="0.2">
      <c r="A16" s="4"/>
      <c r="B16" s="17"/>
      <c r="C16" s="17"/>
      <c r="D16" s="17"/>
      <c r="E16" s="17"/>
      <c r="F16" s="17"/>
      <c r="G16" s="17"/>
      <c r="H16" s="17"/>
    </row>
    <row r="17" spans="1:8" x14ac:dyDescent="0.2">
      <c r="A17" s="4"/>
      <c r="B17" s="17"/>
      <c r="C17" s="17"/>
      <c r="D17" s="17"/>
      <c r="E17" s="17"/>
      <c r="F17" s="17"/>
      <c r="G17" s="17"/>
      <c r="H17" s="17"/>
    </row>
    <row r="18" spans="1:8" x14ac:dyDescent="0.2">
      <c r="A18" s="4"/>
      <c r="B18" s="17"/>
      <c r="C18" s="17"/>
      <c r="D18" s="17"/>
      <c r="E18" s="17"/>
      <c r="F18" s="17"/>
      <c r="G18" s="17"/>
      <c r="H18" s="17"/>
    </row>
    <row r="19" spans="1:8" x14ac:dyDescent="0.2">
      <c r="A19" s="4"/>
      <c r="B19" s="17"/>
      <c r="C19" s="17"/>
      <c r="D19" s="17"/>
      <c r="E19" s="17"/>
      <c r="F19" s="17"/>
      <c r="G19" s="17"/>
      <c r="H19" s="17"/>
    </row>
    <row r="20" spans="1:8" x14ac:dyDescent="0.2">
      <c r="A20" s="4"/>
      <c r="B20" s="17"/>
      <c r="C20" s="17"/>
      <c r="D20" s="17"/>
      <c r="E20" s="17"/>
      <c r="F20" s="17"/>
      <c r="G20" s="17"/>
      <c r="H20" s="17"/>
    </row>
    <row r="21" spans="1:8" x14ac:dyDescent="0.2">
      <c r="A21" s="4"/>
      <c r="B21" s="17"/>
      <c r="C21" s="17"/>
      <c r="D21" s="17"/>
      <c r="E21" s="17"/>
      <c r="F21" s="17"/>
      <c r="G21" s="17"/>
      <c r="H21" s="17"/>
    </row>
    <row r="22" spans="1:8" x14ac:dyDescent="0.2">
      <c r="A22" s="4"/>
      <c r="B22" s="17"/>
      <c r="C22" s="17"/>
      <c r="D22" s="17"/>
      <c r="E22" s="17"/>
      <c r="F22" s="17"/>
      <c r="G22" s="17"/>
      <c r="H22" s="17"/>
    </row>
    <row r="23" spans="1:8" x14ac:dyDescent="0.2">
      <c r="A23" s="4"/>
      <c r="B23" s="17"/>
      <c r="C23" s="17"/>
      <c r="D23" s="17"/>
      <c r="E23" s="17"/>
      <c r="F23" s="17"/>
      <c r="G23" s="17"/>
      <c r="H23" s="17"/>
    </row>
    <row r="24" spans="1:8" x14ac:dyDescent="0.2">
      <c r="A24" s="4"/>
      <c r="B24" s="17"/>
      <c r="C24" s="17"/>
      <c r="D24" s="17"/>
      <c r="E24" s="17"/>
      <c r="F24" s="17"/>
      <c r="G24" s="17"/>
      <c r="H24" s="17"/>
    </row>
    <row r="25" spans="1:8" x14ac:dyDescent="0.2">
      <c r="A25" s="4" t="s">
        <v>325</v>
      </c>
      <c r="B25" s="17"/>
      <c r="C25" s="17"/>
      <c r="D25" s="17"/>
      <c r="E25" s="17"/>
      <c r="F25" s="17"/>
      <c r="G25" s="17"/>
      <c r="H25" s="17"/>
    </row>
    <row r="26" spans="1:8" x14ac:dyDescent="0.2">
      <c r="A26" s="4"/>
      <c r="B26" s="17"/>
      <c r="C26" s="17"/>
      <c r="D26" s="17"/>
      <c r="E26" s="17"/>
      <c r="F26" s="17"/>
      <c r="G26" s="17"/>
      <c r="H26" s="17"/>
    </row>
    <row r="27" spans="1:8" x14ac:dyDescent="0.2">
      <c r="A27" s="4" t="s">
        <v>326</v>
      </c>
      <c r="B27" s="17" t="s">
        <v>153</v>
      </c>
      <c r="C27" s="17"/>
      <c r="D27" s="17"/>
      <c r="E27" s="17"/>
      <c r="F27" s="17"/>
      <c r="G27" s="17"/>
      <c r="H27" s="17"/>
    </row>
    <row r="28" spans="1:8" x14ac:dyDescent="0.2">
      <c r="A28" s="4" t="s">
        <v>327</v>
      </c>
      <c r="B28" s="17" t="e">
        <f ca="1">SOMMEPROD((MOIS(Paiements!C$4:C$1000)=12)*(ANNEE(Paiements!C$4:C$1000)=2025)*Paiements!D$4:D$1000)</f>
        <v>#NAME?</v>
      </c>
      <c r="C28" s="17"/>
      <c r="D28" s="17"/>
      <c r="E28" s="17"/>
      <c r="F28" s="17"/>
      <c r="G28" s="17"/>
      <c r="H28" s="17"/>
    </row>
    <row r="29" spans="1:8" x14ac:dyDescent="0.2">
      <c r="A29" s="4" t="s">
        <v>328</v>
      </c>
      <c r="B29" s="17" t="e">
        <f ca="1">SOMMEPROD((MOIS(Paiements!C$4:C$1000)=11)*(ANNEE(Paiements!C$4:C$1000)=2025)*Paiements!D$4:D$1000)</f>
        <v>#NAME?</v>
      </c>
      <c r="C29" s="17"/>
      <c r="D29" s="17"/>
      <c r="E29" s="17"/>
      <c r="F29" s="17"/>
      <c r="G29" s="17"/>
      <c r="H29" s="17"/>
    </row>
    <row r="30" spans="1:8" x14ac:dyDescent="0.2">
      <c r="A30" s="4" t="s">
        <v>329</v>
      </c>
      <c r="B30" s="17" t="e">
        <f ca="1">SOMMEPROD((MOIS(Paiements!C$4:C$1000)=10)*(ANNEE(Paiements!C$4:C$1000)=2025)*Paiements!D$4:D$1000)</f>
        <v>#NAME?</v>
      </c>
      <c r="C30" s="17"/>
      <c r="D30" s="17"/>
      <c r="E30" s="17"/>
      <c r="F30" s="17"/>
      <c r="G30" s="17"/>
      <c r="H30" s="17"/>
    </row>
    <row r="31" spans="1:8" x14ac:dyDescent="0.2">
      <c r="A31" s="4" t="s">
        <v>330</v>
      </c>
      <c r="B31" s="17" t="e">
        <f ca="1">SOMMEPROD((MOIS(Paiements!C$4:C$1000)=9)*(ANNEE(Paiements!C$4:C$1000)=2025)*Paiements!D$4:D$1000)</f>
        <v>#NAME?</v>
      </c>
      <c r="C31" s="17"/>
      <c r="D31" s="17"/>
      <c r="E31" s="17"/>
      <c r="F31" s="17"/>
      <c r="G31" s="17"/>
      <c r="H31" s="17"/>
    </row>
    <row r="32" spans="1:8" x14ac:dyDescent="0.2">
      <c r="A32" s="4" t="s">
        <v>331</v>
      </c>
      <c r="B32" s="17" t="e">
        <f ca="1">SOMMEPROD((MOIS(Paiements!C$4:C$1000)=8)*(ANNEE(Paiements!C$4:C$1000)=2025)*Paiements!D$4:D$1000)</f>
        <v>#NAME?</v>
      </c>
      <c r="C32" s="17"/>
      <c r="D32" s="17"/>
      <c r="E32" s="17"/>
      <c r="F32" s="17"/>
      <c r="G32" s="17"/>
      <c r="H32" s="17"/>
    </row>
    <row r="33" spans="1:8" x14ac:dyDescent="0.2">
      <c r="A33" s="4" t="s">
        <v>332</v>
      </c>
      <c r="B33" s="17" t="e">
        <f ca="1">SOMMEPROD((MOIS(Paiements!C$4:C$1000)=7)*(ANNEE(Paiements!C$4:C$1000)=2025)*Paiements!D$4:D$1000)</f>
        <v>#NAME?</v>
      </c>
      <c r="C33" s="17"/>
      <c r="D33" s="17"/>
      <c r="E33" s="17"/>
      <c r="F33" s="17"/>
      <c r="G33" s="17"/>
      <c r="H33" s="17"/>
    </row>
    <row r="34" spans="1:8" x14ac:dyDescent="0.2">
      <c r="A34" s="4" t="s">
        <v>333</v>
      </c>
      <c r="B34" s="17" t="e">
        <f ca="1">SOMMEPROD((MOIS(Paiements!C$4:C$1000)=6)*(ANNEE(Paiements!C$4:C$1000)=2025)*Paiements!D$4:D$1000)</f>
        <v>#NAME?</v>
      </c>
      <c r="C34" s="17"/>
      <c r="D34" s="17"/>
      <c r="E34" s="17"/>
      <c r="F34" s="17"/>
      <c r="G34" s="17"/>
      <c r="H34" s="17"/>
    </row>
    <row r="35" spans="1:8" x14ac:dyDescent="0.2">
      <c r="A35" s="4" t="s">
        <v>334</v>
      </c>
      <c r="B35" s="17" t="e">
        <f ca="1">SOMMEPROD((MOIS(Paiements!C$4:C$1000)=5)*(ANNEE(Paiements!C$4:C$1000)=2025)*Paiements!D$4:D$1000)</f>
        <v>#NAME?</v>
      </c>
      <c r="C35" s="17"/>
      <c r="D35" s="17"/>
      <c r="E35" s="17"/>
      <c r="F35" s="17"/>
      <c r="G35" s="17"/>
      <c r="H35" s="17"/>
    </row>
    <row r="36" spans="1:8" x14ac:dyDescent="0.2">
      <c r="A36" s="4" t="s">
        <v>335</v>
      </c>
      <c r="B36" s="17" t="e">
        <f ca="1">SOMMEPROD((MOIS(Paiements!C$4:C$1000)=4)*(ANNEE(Paiements!C$4:C$1000)=2025)*Paiements!D$4:D$1000)</f>
        <v>#NAME?</v>
      </c>
      <c r="C36" s="17"/>
      <c r="D36" s="17"/>
      <c r="E36" s="17"/>
      <c r="F36" s="17"/>
      <c r="G36" s="17"/>
      <c r="H36" s="17"/>
    </row>
    <row r="37" spans="1:8" x14ac:dyDescent="0.2">
      <c r="A37" s="4" t="s">
        <v>336</v>
      </c>
      <c r="B37" s="17" t="e">
        <f ca="1">SOMMEPROD((MOIS(Paiements!C$4:C$1000)=3)*(ANNEE(Paiements!C$4:C$1000)=2025)*Paiements!D$4:D$1000)</f>
        <v>#NAME?</v>
      </c>
      <c r="C37" s="17"/>
      <c r="D37" s="17"/>
      <c r="E37" s="17"/>
      <c r="F37" s="17"/>
      <c r="G37" s="17"/>
      <c r="H37" s="17"/>
    </row>
    <row r="38" spans="1:8" x14ac:dyDescent="0.2">
      <c r="A38" s="4" t="s">
        <v>337</v>
      </c>
      <c r="B38" s="17" t="e">
        <f ca="1">SOMMEPROD((MOIS(Paiements!C$4:C$1000)=2)*(ANNEE(Paiements!C$4:C$1000)=2025)*Paiements!D$4:D$1000)</f>
        <v>#NAME?</v>
      </c>
      <c r="C38" s="17"/>
      <c r="D38" s="17"/>
      <c r="E38" s="17"/>
      <c r="F38" s="17"/>
      <c r="G38" s="17"/>
      <c r="H38" s="17"/>
    </row>
    <row r="39" spans="1:8" x14ac:dyDescent="0.2">
      <c r="A39" s="4" t="s">
        <v>338</v>
      </c>
      <c r="B39" s="17" t="e">
        <f ca="1">SOMMEPROD((MOIS(Paiements!C$4:C$1000)=1)*(ANNEE(Paiements!C$4:C$1000)=2025)*Paiements!D$4:D$1000)</f>
        <v>#NAME?</v>
      </c>
      <c r="C39" s="17"/>
      <c r="D39" s="17"/>
      <c r="E39" s="17"/>
      <c r="F39" s="17"/>
      <c r="G39" s="17"/>
      <c r="H39" s="17"/>
    </row>
  </sheetData>
  <mergeCells count="2">
    <mergeCell ref="A2:H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Membres</vt:lpstr>
      <vt:lpstr>Abonnements</vt:lpstr>
      <vt:lpstr>Paiements</vt:lpstr>
      <vt:lpstr>Présences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 NDOYE</cp:lastModifiedBy>
  <dcterms:created xsi:type="dcterms:W3CDTF">2025-12-08T14:48:08Z</dcterms:created>
  <dcterms:modified xsi:type="dcterms:W3CDTF">2025-12-08T15:02:33Z</dcterms:modified>
</cp:coreProperties>
</file>